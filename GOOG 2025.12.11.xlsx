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vasileiosprassas/Desktop/"/>
    </mc:Choice>
  </mc:AlternateContent>
  <xr:revisionPtr revIDLastSave="0" documentId="13_ncr:1_{781DF031-A0FA-6349-8F7A-1C63214E445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tatements" sheetId="1" r:id="rId1"/>
    <sheet name="Reverse DCF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2" i="3" l="1"/>
  <c r="T32" i="3" s="1"/>
  <c r="U32" i="3" s="1"/>
  <c r="V32" i="3" s="1"/>
  <c r="W32" i="3" s="1"/>
  <c r="X32" i="3" s="1"/>
  <c r="Y32" i="3" s="1"/>
  <c r="Z32" i="3" s="1"/>
  <c r="AA32" i="3" s="1"/>
  <c r="AB32" i="3" s="1"/>
  <c r="R38" i="3"/>
  <c r="Q38" i="3"/>
  <c r="P38" i="3"/>
  <c r="O38" i="3"/>
  <c r="N38" i="3"/>
  <c r="M38" i="3"/>
  <c r="L38" i="3"/>
  <c r="K38" i="3"/>
  <c r="J38" i="3"/>
  <c r="I38" i="3"/>
  <c r="H38" i="3"/>
  <c r="R91" i="1"/>
  <c r="Q91" i="1"/>
  <c r="P91" i="1"/>
  <c r="O91" i="1"/>
  <c r="N91" i="1"/>
  <c r="M91" i="1"/>
  <c r="L91" i="1"/>
  <c r="K91" i="1"/>
  <c r="J91" i="1"/>
  <c r="I91" i="1"/>
  <c r="H91" i="1"/>
  <c r="G91" i="1"/>
  <c r="R92" i="1"/>
  <c r="Q92" i="1"/>
  <c r="P92" i="1"/>
  <c r="O92" i="1"/>
  <c r="N92" i="1"/>
  <c r="M92" i="1"/>
  <c r="L92" i="1"/>
  <c r="K92" i="1"/>
  <c r="J92" i="1"/>
  <c r="I92" i="1"/>
  <c r="H92" i="1"/>
  <c r="G92" i="1"/>
  <c r="R121" i="1"/>
  <c r="Q121" i="1"/>
  <c r="P121" i="1"/>
  <c r="P128" i="1" s="1"/>
  <c r="O121" i="1"/>
  <c r="O128" i="1" s="1"/>
  <c r="N121" i="1"/>
  <c r="N128" i="1" s="1"/>
  <c r="M121" i="1"/>
  <c r="M128" i="1" s="1"/>
  <c r="L121" i="1"/>
  <c r="L128" i="1" s="1"/>
  <c r="K121" i="1"/>
  <c r="K128" i="1" s="1"/>
  <c r="J121" i="1"/>
  <c r="I121" i="1"/>
  <c r="H121" i="1"/>
  <c r="H128" i="1" s="1"/>
  <c r="G121" i="1"/>
  <c r="G103" i="1"/>
  <c r="G111" i="1" s="1"/>
  <c r="H103" i="1"/>
  <c r="H111" i="1" s="1"/>
  <c r="I103" i="1"/>
  <c r="I111" i="1" s="1"/>
  <c r="J103" i="1"/>
  <c r="J111" i="1" s="1"/>
  <c r="K103" i="1"/>
  <c r="K111" i="1" s="1"/>
  <c r="L103" i="1"/>
  <c r="L111" i="1" s="1"/>
  <c r="M103" i="1"/>
  <c r="M111" i="1" s="1"/>
  <c r="N103" i="1"/>
  <c r="N111" i="1" s="1"/>
  <c r="O103" i="1"/>
  <c r="O111" i="1" s="1"/>
  <c r="P103" i="1"/>
  <c r="P111" i="1" s="1"/>
  <c r="Q103" i="1"/>
  <c r="Q111" i="1" s="1"/>
  <c r="R103" i="1"/>
  <c r="R111" i="1" s="1"/>
  <c r="G128" i="1"/>
  <c r="I128" i="1"/>
  <c r="J128" i="1"/>
  <c r="Q128" i="1"/>
  <c r="R128" i="1"/>
  <c r="T49" i="3"/>
  <c r="U49" i="3" s="1"/>
  <c r="V49" i="3" s="1"/>
  <c r="W49" i="3" s="1"/>
  <c r="X49" i="3" s="1"/>
  <c r="Y49" i="3" s="1"/>
  <c r="Z49" i="3" s="1"/>
  <c r="AA49" i="3" s="1"/>
  <c r="AB49" i="3" s="1"/>
  <c r="R49" i="3"/>
  <c r="Q49" i="3"/>
  <c r="P49" i="3"/>
  <c r="O49" i="3"/>
  <c r="N49" i="3"/>
  <c r="M49" i="3"/>
  <c r="L49" i="3"/>
  <c r="K49" i="3"/>
  <c r="J49" i="3"/>
  <c r="I49" i="3"/>
  <c r="H49" i="3"/>
  <c r="T48" i="3"/>
  <c r="U48" i="3" s="1"/>
  <c r="V48" i="3" s="1"/>
  <c r="W48" i="3" s="1"/>
  <c r="X48" i="3" s="1"/>
  <c r="Y48" i="3" s="1"/>
  <c r="Z48" i="3" s="1"/>
  <c r="AA48" i="3" s="1"/>
  <c r="AB48" i="3" s="1"/>
  <c r="R48" i="3"/>
  <c r="Q48" i="3"/>
  <c r="P48" i="3"/>
  <c r="O48" i="3"/>
  <c r="N48" i="3"/>
  <c r="M48" i="3"/>
  <c r="L48" i="3"/>
  <c r="K48" i="3"/>
  <c r="J48" i="3"/>
  <c r="I48" i="3"/>
  <c r="H48" i="3"/>
  <c r="R47" i="3"/>
  <c r="Q47" i="3"/>
  <c r="P47" i="3"/>
  <c r="O47" i="3"/>
  <c r="N47" i="3"/>
  <c r="M47" i="3"/>
  <c r="L47" i="3"/>
  <c r="K47" i="3"/>
  <c r="J47" i="3"/>
  <c r="I47" i="3"/>
  <c r="H47" i="3"/>
  <c r="T47" i="3"/>
  <c r="U47" i="3" s="1"/>
  <c r="V47" i="3" s="1"/>
  <c r="W47" i="3" s="1"/>
  <c r="X47" i="3" s="1"/>
  <c r="Y47" i="3" s="1"/>
  <c r="Z47" i="3" s="1"/>
  <c r="AA47" i="3" s="1"/>
  <c r="AB47" i="3" s="1"/>
  <c r="U52" i="3"/>
  <c r="V52" i="3" s="1"/>
  <c r="W52" i="3" s="1"/>
  <c r="X52" i="3" s="1"/>
  <c r="Y52" i="3" s="1"/>
  <c r="Z52" i="3" s="1"/>
  <c r="AA52" i="3" s="1"/>
  <c r="AB52" i="3" s="1"/>
  <c r="T46" i="3"/>
  <c r="U46" i="3" s="1"/>
  <c r="V46" i="3" s="1"/>
  <c r="W46" i="3" s="1"/>
  <c r="X46" i="3" s="1"/>
  <c r="Y46" i="3" s="1"/>
  <c r="Z46" i="3" s="1"/>
  <c r="AA46" i="3" s="1"/>
  <c r="AB46" i="3" s="1"/>
  <c r="T45" i="3"/>
  <c r="U45" i="3" s="1"/>
  <c r="V45" i="3" s="1"/>
  <c r="W45" i="3" s="1"/>
  <c r="X45" i="3" s="1"/>
  <c r="Y45" i="3" s="1"/>
  <c r="Z45" i="3" s="1"/>
  <c r="AA45" i="3" s="1"/>
  <c r="AB45" i="3" s="1"/>
  <c r="T44" i="3"/>
  <c r="U44" i="3" s="1"/>
  <c r="V44" i="3" s="1"/>
  <c r="W44" i="3" s="1"/>
  <c r="X44" i="3" s="1"/>
  <c r="Y44" i="3" s="1"/>
  <c r="Z44" i="3" s="1"/>
  <c r="AA44" i="3" s="1"/>
  <c r="AB44" i="3" s="1"/>
  <c r="T43" i="3"/>
  <c r="U43" i="3" s="1"/>
  <c r="V43" i="3" s="1"/>
  <c r="W43" i="3" s="1"/>
  <c r="X43" i="3" s="1"/>
  <c r="Y43" i="3" s="1"/>
  <c r="Z43" i="3" s="1"/>
  <c r="AA43" i="3" s="1"/>
  <c r="AB43" i="3" s="1"/>
  <c r="R45" i="3"/>
  <c r="Q45" i="3"/>
  <c r="P45" i="3"/>
  <c r="O45" i="3"/>
  <c r="N45" i="3"/>
  <c r="M45" i="3"/>
  <c r="L45" i="3"/>
  <c r="K45" i="3"/>
  <c r="J45" i="3"/>
  <c r="I45" i="3"/>
  <c r="R44" i="3"/>
  <c r="Q44" i="3"/>
  <c r="P44" i="3"/>
  <c r="O44" i="3"/>
  <c r="N44" i="3"/>
  <c r="M44" i="3"/>
  <c r="L44" i="3"/>
  <c r="K44" i="3"/>
  <c r="J44" i="3"/>
  <c r="I44" i="3"/>
  <c r="R43" i="3"/>
  <c r="Q43" i="3"/>
  <c r="P43" i="3"/>
  <c r="O43" i="3"/>
  <c r="N43" i="3"/>
  <c r="M43" i="3"/>
  <c r="L43" i="3"/>
  <c r="K43" i="3"/>
  <c r="J43" i="3"/>
  <c r="I43" i="3"/>
  <c r="H45" i="3"/>
  <c r="H44" i="3"/>
  <c r="H43" i="3"/>
  <c r="R29" i="3"/>
  <c r="Q29" i="3"/>
  <c r="P29" i="3"/>
  <c r="O29" i="3"/>
  <c r="N29" i="3"/>
  <c r="M29" i="3"/>
  <c r="L29" i="3"/>
  <c r="K29" i="3"/>
  <c r="J29" i="3"/>
  <c r="I29" i="3"/>
  <c r="H29" i="3"/>
  <c r="T24" i="3"/>
  <c r="U24" i="3" s="1"/>
  <c r="T20" i="3"/>
  <c r="U20" i="3" s="1"/>
  <c r="V20" i="3" s="1"/>
  <c r="W20" i="3" s="1"/>
  <c r="X20" i="3" s="1"/>
  <c r="Y20" i="3" s="1"/>
  <c r="Z20" i="3" s="1"/>
  <c r="AA20" i="3" s="1"/>
  <c r="AB20" i="3" s="1"/>
  <c r="S19" i="3"/>
  <c r="S28" i="3" s="1"/>
  <c r="U18" i="3"/>
  <c r="V18" i="3" s="1"/>
  <c r="W18" i="3" s="1"/>
  <c r="X18" i="3" s="1"/>
  <c r="Y18" i="3" s="1"/>
  <c r="Z18" i="3" s="1"/>
  <c r="AA18" i="3" s="1"/>
  <c r="AB18" i="3" s="1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G72" i="3"/>
  <c r="F72" i="3"/>
  <c r="F37" i="3" s="1"/>
  <c r="R23" i="3"/>
  <c r="R24" i="3" s="1"/>
  <c r="Q23" i="3"/>
  <c r="P23" i="3"/>
  <c r="P24" i="3" s="1"/>
  <c r="O23" i="3"/>
  <c r="N23" i="3"/>
  <c r="N24" i="3" s="1"/>
  <c r="M23" i="3"/>
  <c r="M24" i="3" s="1"/>
  <c r="L23" i="3"/>
  <c r="L24" i="3" s="1"/>
  <c r="K23" i="3"/>
  <c r="K24" i="3" s="1"/>
  <c r="J23" i="3"/>
  <c r="J24" i="3" s="1"/>
  <c r="I23" i="3"/>
  <c r="H23" i="3"/>
  <c r="H24" i="3" s="1"/>
  <c r="R20" i="3"/>
  <c r="Q20" i="3"/>
  <c r="P20" i="3"/>
  <c r="O20" i="3"/>
  <c r="N20" i="3"/>
  <c r="M20" i="3"/>
  <c r="L20" i="3"/>
  <c r="K20" i="3"/>
  <c r="J20" i="3"/>
  <c r="I20" i="3"/>
  <c r="I7" i="3"/>
  <c r="D7" i="3"/>
  <c r="D9" i="3" s="1"/>
  <c r="D4" i="3"/>
  <c r="D5" i="3" s="1"/>
  <c r="D11" i="3" s="1"/>
  <c r="D7" i="1"/>
  <c r="D9" i="1" s="1"/>
  <c r="I7" i="1"/>
  <c r="D4" i="1" s="1"/>
  <c r="D5" i="1" s="1"/>
  <c r="Z86" i="1"/>
  <c r="Y86" i="1"/>
  <c r="X86" i="1"/>
  <c r="W86" i="1"/>
  <c r="V86" i="1"/>
  <c r="U86" i="1"/>
  <c r="T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Z75" i="1"/>
  <c r="Y75" i="1"/>
  <c r="X75" i="1"/>
  <c r="W75" i="1"/>
  <c r="V75" i="1"/>
  <c r="U75" i="1"/>
  <c r="T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Z61" i="1"/>
  <c r="Y61" i="1"/>
  <c r="X61" i="1"/>
  <c r="X38" i="1" s="1"/>
  <c r="W61" i="1"/>
  <c r="W38" i="1" s="1"/>
  <c r="V61" i="1"/>
  <c r="V38" i="1" s="1"/>
  <c r="U61" i="1"/>
  <c r="U38" i="1" s="1"/>
  <c r="T61" i="1"/>
  <c r="T38" i="1" s="1"/>
  <c r="R61" i="1"/>
  <c r="Q61" i="1"/>
  <c r="P61" i="1"/>
  <c r="O61" i="1"/>
  <c r="O38" i="1" s="1"/>
  <c r="N61" i="1"/>
  <c r="N38" i="1" s="1"/>
  <c r="M61" i="1"/>
  <c r="M38" i="1" s="1"/>
  <c r="L61" i="1"/>
  <c r="L38" i="1" s="1"/>
  <c r="K61" i="1"/>
  <c r="K38" i="1" s="1"/>
  <c r="J61" i="1"/>
  <c r="I61" i="1"/>
  <c r="H61" i="1"/>
  <c r="G61" i="1"/>
  <c r="G38" i="1" s="1"/>
  <c r="F61" i="1"/>
  <c r="F38" i="1" s="1"/>
  <c r="Z30" i="1"/>
  <c r="Y30" i="1"/>
  <c r="X30" i="1"/>
  <c r="W30" i="1"/>
  <c r="V30" i="1"/>
  <c r="U30" i="1"/>
  <c r="T30" i="1"/>
  <c r="R30" i="1"/>
  <c r="Q30" i="1"/>
  <c r="P30" i="1"/>
  <c r="O30" i="1"/>
  <c r="N30" i="1"/>
  <c r="M30" i="1"/>
  <c r="L30" i="1"/>
  <c r="K30" i="1"/>
  <c r="J30" i="1"/>
  <c r="I30" i="1"/>
  <c r="H30" i="1"/>
  <c r="Z23" i="1"/>
  <c r="Z24" i="1" s="1"/>
  <c r="Y23" i="1"/>
  <c r="Y24" i="1" s="1"/>
  <c r="X23" i="1"/>
  <c r="X24" i="1" s="1"/>
  <c r="W23" i="1"/>
  <c r="W24" i="1" s="1"/>
  <c r="V23" i="1"/>
  <c r="V24" i="1" s="1"/>
  <c r="U23" i="1"/>
  <c r="U24" i="1" s="1"/>
  <c r="T23" i="1"/>
  <c r="T24" i="1" s="1"/>
  <c r="R23" i="1"/>
  <c r="R24" i="1" s="1"/>
  <c r="Q23" i="1"/>
  <c r="Q24" i="1" s="1"/>
  <c r="P23" i="1"/>
  <c r="P24" i="1" s="1"/>
  <c r="O23" i="1"/>
  <c r="O24" i="1" s="1"/>
  <c r="N23" i="1"/>
  <c r="N24" i="1" s="1"/>
  <c r="M23" i="1"/>
  <c r="M24" i="1" s="1"/>
  <c r="L23" i="1"/>
  <c r="L24" i="1" s="1"/>
  <c r="K23" i="1"/>
  <c r="K24" i="1" s="1"/>
  <c r="J23" i="1"/>
  <c r="J24" i="1" s="1"/>
  <c r="I23" i="1"/>
  <c r="I24" i="1" s="1"/>
  <c r="H23" i="1"/>
  <c r="H24" i="1" s="1"/>
  <c r="X20" i="1"/>
  <c r="Y20" i="1"/>
  <c r="Z20" i="1"/>
  <c r="R20" i="1"/>
  <c r="Q20" i="1"/>
  <c r="P20" i="1"/>
  <c r="O20" i="1"/>
  <c r="N20" i="1"/>
  <c r="M20" i="1"/>
  <c r="L20" i="1"/>
  <c r="K20" i="1"/>
  <c r="J20" i="1"/>
  <c r="I20" i="1"/>
  <c r="P32" i="1" l="1"/>
  <c r="P34" i="1" s="1"/>
  <c r="P36" i="1" s="1"/>
  <c r="H32" i="1"/>
  <c r="H34" i="1" s="1"/>
  <c r="H36" i="1" s="1"/>
  <c r="D11" i="1"/>
  <c r="S55" i="3"/>
  <c r="S57" i="3"/>
  <c r="S26" i="3"/>
  <c r="S74" i="3"/>
  <c r="S86" i="3" s="1"/>
  <c r="S27" i="3"/>
  <c r="S29" i="3" s="1"/>
  <c r="T19" i="3"/>
  <c r="U19" i="3" s="1"/>
  <c r="U74" i="3" s="1"/>
  <c r="U86" i="3" s="1"/>
  <c r="S23" i="3"/>
  <c r="V24" i="3"/>
  <c r="G99" i="3"/>
  <c r="O24" i="3"/>
  <c r="F99" i="3"/>
  <c r="I24" i="3"/>
  <c r="G37" i="3"/>
  <c r="Q24" i="3"/>
  <c r="I32" i="1"/>
  <c r="I34" i="1" s="1"/>
  <c r="I36" i="1" s="1"/>
  <c r="H88" i="1"/>
  <c r="P88" i="1"/>
  <c r="L88" i="1"/>
  <c r="U88" i="1"/>
  <c r="I88" i="1"/>
  <c r="Q88" i="1"/>
  <c r="M88" i="1"/>
  <c r="V88" i="1"/>
  <c r="K32" i="1"/>
  <c r="K34" i="1" s="1"/>
  <c r="K36" i="1" s="1"/>
  <c r="R88" i="1"/>
  <c r="Y32" i="1"/>
  <c r="Y34" i="1" s="1"/>
  <c r="Y36" i="1" s="1"/>
  <c r="J32" i="1"/>
  <c r="J34" i="1" s="1"/>
  <c r="J36" i="1" s="1"/>
  <c r="Z88" i="1"/>
  <c r="J88" i="1"/>
  <c r="Z32" i="1"/>
  <c r="Z34" i="1" s="1"/>
  <c r="Z36" i="1" s="1"/>
  <c r="T88" i="1"/>
  <c r="R32" i="1"/>
  <c r="R34" i="1" s="1"/>
  <c r="R36" i="1" s="1"/>
  <c r="D14" i="1" s="1"/>
  <c r="T32" i="1"/>
  <c r="T34" i="1" s="1"/>
  <c r="T36" i="1" s="1"/>
  <c r="Q32" i="1"/>
  <c r="Q34" i="1" s="1"/>
  <c r="Q36" i="1" s="1"/>
  <c r="J38" i="1"/>
  <c r="Y88" i="1"/>
  <c r="Y38" i="1"/>
  <c r="H38" i="1"/>
  <c r="P38" i="1"/>
  <c r="Z38" i="1"/>
  <c r="L32" i="1"/>
  <c r="L34" i="1" s="1"/>
  <c r="L36" i="1" s="1"/>
  <c r="U32" i="1"/>
  <c r="U34" i="1" s="1"/>
  <c r="U36" i="1" s="1"/>
  <c r="M32" i="1"/>
  <c r="M34" i="1" s="1"/>
  <c r="M36" i="1" s="1"/>
  <c r="V32" i="1"/>
  <c r="V34" i="1" s="1"/>
  <c r="V36" i="1" s="1"/>
  <c r="N32" i="1"/>
  <c r="N34" i="1" s="1"/>
  <c r="N36" i="1" s="1"/>
  <c r="W32" i="1"/>
  <c r="W34" i="1" s="1"/>
  <c r="W36" i="1" s="1"/>
  <c r="F88" i="1"/>
  <c r="N88" i="1"/>
  <c r="W88" i="1"/>
  <c r="O32" i="1"/>
  <c r="O34" i="1" s="1"/>
  <c r="O36" i="1" s="1"/>
  <c r="X32" i="1"/>
  <c r="X34" i="1" s="1"/>
  <c r="X36" i="1" s="1"/>
  <c r="G88" i="1"/>
  <c r="O88" i="1"/>
  <c r="X88" i="1"/>
  <c r="K88" i="1"/>
  <c r="I38" i="1"/>
  <c r="Q38" i="1"/>
  <c r="R38" i="1"/>
  <c r="D13" i="1" s="1"/>
  <c r="H31" i="3"/>
  <c r="H33" i="3" s="1"/>
  <c r="R31" i="3"/>
  <c r="R33" i="3" s="1"/>
  <c r="I31" i="3"/>
  <c r="I33" i="3" s="1"/>
  <c r="J31" i="3"/>
  <c r="J33" i="3" s="1"/>
  <c r="Q31" i="3"/>
  <c r="Q33" i="3" s="1"/>
  <c r="M31" i="3"/>
  <c r="M33" i="3" s="1"/>
  <c r="K31" i="3"/>
  <c r="K33" i="3" s="1"/>
  <c r="P31" i="3"/>
  <c r="P33" i="3" s="1"/>
  <c r="L31" i="3"/>
  <c r="L33" i="3" s="1"/>
  <c r="O31" i="3"/>
  <c r="O33" i="3"/>
  <c r="O46" i="3" s="1"/>
  <c r="O35" i="3"/>
  <c r="O53" i="3" s="1"/>
  <c r="O72" i="3" s="1"/>
  <c r="O37" i="3" s="1"/>
  <c r="N31" i="3"/>
  <c r="N33" i="3"/>
  <c r="T74" i="3" l="1"/>
  <c r="T86" i="3" s="1"/>
  <c r="V19" i="3"/>
  <c r="V74" i="3" s="1"/>
  <c r="V86" i="3" s="1"/>
  <c r="U57" i="3"/>
  <c r="U28" i="3"/>
  <c r="U26" i="3"/>
  <c r="U27" i="3"/>
  <c r="U23" i="3"/>
  <c r="U55" i="3"/>
  <c r="N35" i="3"/>
  <c r="N53" i="3" s="1"/>
  <c r="N72" i="3" s="1"/>
  <c r="N37" i="3" s="1"/>
  <c r="N46" i="3"/>
  <c r="P35" i="3"/>
  <c r="P53" i="3" s="1"/>
  <c r="P72" i="3" s="1"/>
  <c r="P46" i="3"/>
  <c r="T57" i="3"/>
  <c r="T28" i="3"/>
  <c r="T26" i="3"/>
  <c r="T55" i="3"/>
  <c r="T27" i="3"/>
  <c r="Q35" i="3"/>
  <c r="Q53" i="3" s="1"/>
  <c r="Q72" i="3" s="1"/>
  <c r="Q99" i="3" s="1"/>
  <c r="Q46" i="3"/>
  <c r="J35" i="3"/>
  <c r="J53" i="3" s="1"/>
  <c r="J72" i="3" s="1"/>
  <c r="J99" i="3" s="1"/>
  <c r="J46" i="3"/>
  <c r="R35" i="3"/>
  <c r="R46" i="3"/>
  <c r="T23" i="3"/>
  <c r="K35" i="3"/>
  <c r="K53" i="3" s="1"/>
  <c r="K72" i="3" s="1"/>
  <c r="K46" i="3"/>
  <c r="S22" i="3"/>
  <c r="S31" i="3"/>
  <c r="S33" i="3" s="1"/>
  <c r="M35" i="3"/>
  <c r="M53" i="3" s="1"/>
  <c r="M72" i="3" s="1"/>
  <c r="M37" i="3" s="1"/>
  <c r="M46" i="3"/>
  <c r="I35" i="3"/>
  <c r="I53" i="3" s="1"/>
  <c r="I72" i="3" s="1"/>
  <c r="I99" i="3" s="1"/>
  <c r="I46" i="3"/>
  <c r="L35" i="3"/>
  <c r="L53" i="3" s="1"/>
  <c r="L72" i="3" s="1"/>
  <c r="L46" i="3"/>
  <c r="H35" i="3"/>
  <c r="H53" i="3" s="1"/>
  <c r="H72" i="3" s="1"/>
  <c r="H37" i="3" s="1"/>
  <c r="H46" i="3"/>
  <c r="H99" i="3"/>
  <c r="N99" i="3"/>
  <c r="O99" i="3"/>
  <c r="Q37" i="3"/>
  <c r="D14" i="3"/>
  <c r="R53" i="3"/>
  <c r="R72" i="3" s="1"/>
  <c r="W24" i="3"/>
  <c r="V23" i="3"/>
  <c r="K37" i="3" l="1"/>
  <c r="K99" i="3"/>
  <c r="I37" i="3"/>
  <c r="T22" i="3"/>
  <c r="T31" i="3"/>
  <c r="T33" i="3" s="1"/>
  <c r="U22" i="3"/>
  <c r="L37" i="3"/>
  <c r="L99" i="3"/>
  <c r="P99" i="3"/>
  <c r="P37" i="3"/>
  <c r="T29" i="3"/>
  <c r="U29" i="3"/>
  <c r="U31" i="3" s="1"/>
  <c r="U33" i="3" s="1"/>
  <c r="S34" i="3"/>
  <c r="S35" i="3" s="1"/>
  <c r="S53" i="3" s="1"/>
  <c r="S72" i="3" s="1"/>
  <c r="S37" i="3" s="1"/>
  <c r="J37" i="3"/>
  <c r="V22" i="3"/>
  <c r="M99" i="3"/>
  <c r="W19" i="3"/>
  <c r="W74" i="3" s="1"/>
  <c r="W86" i="3" s="1"/>
  <c r="V28" i="3"/>
  <c r="V26" i="3"/>
  <c r="V57" i="3"/>
  <c r="V27" i="3"/>
  <c r="V55" i="3"/>
  <c r="R99" i="3"/>
  <c r="R37" i="3"/>
  <c r="D13" i="3" s="1"/>
  <c r="X24" i="3"/>
  <c r="W23" i="3"/>
  <c r="S40" i="3" l="1"/>
  <c r="S38" i="3"/>
  <c r="U34" i="3"/>
  <c r="U35" i="3"/>
  <c r="U53" i="3" s="1"/>
  <c r="U72" i="3" s="1"/>
  <c r="U37" i="3" s="1"/>
  <c r="V29" i="3"/>
  <c r="V31" i="3" s="1"/>
  <c r="V33" i="3" s="1"/>
  <c r="W22" i="3"/>
  <c r="T34" i="3"/>
  <c r="T35" i="3" s="1"/>
  <c r="T53" i="3" s="1"/>
  <c r="T72" i="3" s="1"/>
  <c r="T37" i="3" s="1"/>
  <c r="X19" i="3"/>
  <c r="X74" i="3" s="1"/>
  <c r="X86" i="3" s="1"/>
  <c r="W27" i="3"/>
  <c r="W26" i="3"/>
  <c r="W28" i="3"/>
  <c r="W55" i="3"/>
  <c r="W57" i="3"/>
  <c r="Y24" i="3"/>
  <c r="U40" i="3" l="1"/>
  <c r="U38" i="3"/>
  <c r="T40" i="3"/>
  <c r="T38" i="3"/>
  <c r="V34" i="3"/>
  <c r="V35" i="3" s="1"/>
  <c r="V53" i="3" s="1"/>
  <c r="V72" i="3" s="1"/>
  <c r="V37" i="3" s="1"/>
  <c r="Y19" i="3"/>
  <c r="Y74" i="3" s="1"/>
  <c r="Y86" i="3" s="1"/>
  <c r="X26" i="3"/>
  <c r="X28" i="3"/>
  <c r="X27" i="3"/>
  <c r="X57" i="3"/>
  <c r="X55" i="3"/>
  <c r="W29" i="3"/>
  <c r="W31" i="3" s="1"/>
  <c r="W33" i="3" s="1"/>
  <c r="X23" i="3"/>
  <c r="Z24" i="3"/>
  <c r="V40" i="3" l="1"/>
  <c r="V38" i="3"/>
  <c r="Y23" i="3"/>
  <c r="X29" i="3"/>
  <c r="X31" i="3" s="1"/>
  <c r="X33" i="3" s="1"/>
  <c r="Y22" i="3"/>
  <c r="Z19" i="3"/>
  <c r="Z74" i="3" s="1"/>
  <c r="Z86" i="3" s="1"/>
  <c r="Y28" i="3"/>
  <c r="Y27" i="3"/>
  <c r="Y57" i="3"/>
  <c r="Y26" i="3"/>
  <c r="Y55" i="3"/>
  <c r="X22" i="3"/>
  <c r="W34" i="3"/>
  <c r="W35" i="3"/>
  <c r="W53" i="3" s="1"/>
  <c r="W72" i="3" s="1"/>
  <c r="W37" i="3" s="1"/>
  <c r="AA24" i="3"/>
  <c r="W40" i="3" l="1"/>
  <c r="W38" i="3"/>
  <c r="Y29" i="3"/>
  <c r="Y31" i="3" s="1"/>
  <c r="Y33" i="3" s="1"/>
  <c r="Y34" i="3" s="1"/>
  <c r="Y35" i="3" s="1"/>
  <c r="Y53" i="3" s="1"/>
  <c r="Y72" i="3" s="1"/>
  <c r="Y37" i="3" s="1"/>
  <c r="Z23" i="3"/>
  <c r="Z22" i="3" s="1"/>
  <c r="AA19" i="3"/>
  <c r="AA74" i="3" s="1"/>
  <c r="AA86" i="3" s="1"/>
  <c r="Z27" i="3"/>
  <c r="Z57" i="3"/>
  <c r="Z26" i="3"/>
  <c r="Z28" i="3"/>
  <c r="Z55" i="3"/>
  <c r="X34" i="3"/>
  <c r="X35" i="3" s="1"/>
  <c r="X53" i="3" s="1"/>
  <c r="X72" i="3" s="1"/>
  <c r="X37" i="3" s="1"/>
  <c r="AB24" i="3"/>
  <c r="Y40" i="3" l="1"/>
  <c r="Y38" i="3"/>
  <c r="X40" i="3"/>
  <c r="X38" i="3"/>
  <c r="AA23" i="3"/>
  <c r="AA22" i="3" s="1"/>
  <c r="Z29" i="3"/>
  <c r="Z31" i="3" s="1"/>
  <c r="Z33" i="3" s="1"/>
  <c r="Z34" i="3" s="1"/>
  <c r="Z35" i="3" s="1"/>
  <c r="Z53" i="3" s="1"/>
  <c r="Z72" i="3" s="1"/>
  <c r="Z37" i="3" s="1"/>
  <c r="AB19" i="3"/>
  <c r="AA26" i="3"/>
  <c r="AA28" i="3"/>
  <c r="AA27" i="3"/>
  <c r="AA57" i="3"/>
  <c r="AA55" i="3"/>
  <c r="Z40" i="3" l="1"/>
  <c r="Z38" i="3"/>
  <c r="AB23" i="3"/>
  <c r="AB74" i="3"/>
  <c r="AB86" i="3" s="1"/>
  <c r="AA29" i="3"/>
  <c r="AA31" i="3" s="1"/>
  <c r="AA33" i="3" s="1"/>
  <c r="AA34" i="3" s="1"/>
  <c r="AB22" i="3"/>
  <c r="AB28" i="3"/>
  <c r="AB27" i="3"/>
  <c r="AB57" i="3"/>
  <c r="AB26" i="3"/>
  <c r="AB55" i="3"/>
  <c r="AA35" i="3" l="1"/>
  <c r="AA53" i="3" s="1"/>
  <c r="AA72" i="3" s="1"/>
  <c r="AA37" i="3" s="1"/>
  <c r="AB29" i="3"/>
  <c r="AB31" i="3" s="1"/>
  <c r="AB33" i="3" s="1"/>
  <c r="AB34" i="3" s="1"/>
  <c r="AB35" i="3" s="1"/>
  <c r="AB53" i="3" s="1"/>
  <c r="AB72" i="3" s="1"/>
  <c r="AB37" i="3" s="1"/>
  <c r="AB40" i="3" l="1"/>
  <c r="AB38" i="3"/>
  <c r="AA40" i="3"/>
  <c r="AA38" i="3"/>
</calcChain>
</file>

<file path=xl/sharedStrings.xml><?xml version="1.0" encoding="utf-8"?>
<sst xmlns="http://schemas.openxmlformats.org/spreadsheetml/2006/main" count="232" uniqueCount="129">
  <si>
    <t>Revenues</t>
  </si>
  <si>
    <t>Cost of revenues</t>
  </si>
  <si>
    <t>Research and development</t>
  </si>
  <si>
    <t>Sales and marketing</t>
  </si>
  <si>
    <t>General and administrative</t>
  </si>
  <si>
    <t>European Commission fine</t>
  </si>
  <si>
    <t>Total costs and expenses</t>
  </si>
  <si>
    <t>Other income (expense), net</t>
  </si>
  <si>
    <t>Income before income taxes</t>
  </si>
  <si>
    <t>Provision for income taxes</t>
  </si>
  <si>
    <t>Net income</t>
  </si>
  <si>
    <t>1Q24</t>
  </si>
  <si>
    <t>2Q24</t>
  </si>
  <si>
    <t>3Q24</t>
  </si>
  <si>
    <t>4Q24</t>
  </si>
  <si>
    <t>1Q25</t>
  </si>
  <si>
    <t>2Q25</t>
  </si>
  <si>
    <t>3Q25</t>
  </si>
  <si>
    <t>Net increase (decrease) in cash and cash equivalents</t>
  </si>
  <si>
    <t>Effect of exchange rate changes on cash and cash equivalents</t>
  </si>
  <si>
    <t>Net cash used in financing activities</t>
  </si>
  <si>
    <t>Proceeds from sale of interest in consolidated entities, net</t>
  </si>
  <si>
    <t>Repayments of debt</t>
  </si>
  <si>
    <t>Proceeds from issuance of debt, net of costs</t>
  </si>
  <si>
    <t>Dividend payments</t>
  </si>
  <si>
    <t>Repurchases of stock</t>
  </si>
  <si>
    <t>Capital transactions with Alphabet</t>
  </si>
  <si>
    <t>Adjustment Payment to Class C capital stockholders</t>
  </si>
  <si>
    <t>Excess tax benefits from stock-based award activities</t>
  </si>
  <si>
    <t>Net payments related to stock-based award activities</t>
  </si>
  <si>
    <t>Financing activities</t>
  </si>
  <si>
    <t>Net cash used in investing activities</t>
  </si>
  <si>
    <t>Other investing activities</t>
  </si>
  <si>
    <t>Proceeds from collection of notes receivable</t>
  </si>
  <si>
    <t>Acquisitions, net of cash acquired, and purchases of intangible assets</t>
  </si>
  <si>
    <t>Proceeds from divestiture of business</t>
  </si>
  <si>
    <t>Investments in reverse repurchase agreements</t>
  </si>
  <si>
    <t>Cash collateral related to securities lending</t>
  </si>
  <si>
    <t>Maturities and sales of non-marketable securities</t>
  </si>
  <si>
    <t>Purchases of non-marketable securities</t>
  </si>
  <si>
    <t>Maturities and sales of marketable securities</t>
  </si>
  <si>
    <t>Purchases of marketable securities</t>
  </si>
  <si>
    <t>Proceeds from disposals of property and equipment</t>
  </si>
  <si>
    <t>Purchases of property and equipment</t>
  </si>
  <si>
    <t>Investing activities</t>
  </si>
  <si>
    <t>Net cash provided by operating activities</t>
  </si>
  <si>
    <t>Deferred revenue</t>
  </si>
  <si>
    <t>Accrued revenue share</t>
  </si>
  <si>
    <t>Accrued expenses and other liabilities</t>
  </si>
  <si>
    <t>Accounts payable</t>
  </si>
  <si>
    <t>Other assets</t>
  </si>
  <si>
    <t>Income taxes, net</t>
  </si>
  <si>
    <t>Accounts receivable</t>
  </si>
  <si>
    <t>Changes in assets and liabilities, net of effects of acquisitions:</t>
  </si>
  <si>
    <t>Other</t>
  </si>
  <si>
    <t>(Gain) loss on marketable and non-marketable investments, net</t>
  </si>
  <si>
    <t>Gain on divestiture of business</t>
  </si>
  <si>
    <t>(Gain) loss on debt and equity securities, net</t>
  </si>
  <si>
    <t>Deferred income taxes</t>
  </si>
  <si>
    <t>Stock-based compensation expense</t>
  </si>
  <si>
    <t>Amortization and impairment of intangible assets</t>
  </si>
  <si>
    <t>Depreciation and impairment of property and equipment</t>
  </si>
  <si>
    <t>Adjustments:</t>
  </si>
  <si>
    <t>LTM</t>
  </si>
  <si>
    <t>Growth</t>
  </si>
  <si>
    <t>Gross Profit</t>
  </si>
  <si>
    <t>Margin</t>
  </si>
  <si>
    <t>EBIT</t>
  </si>
  <si>
    <t>Income Statement</t>
  </si>
  <si>
    <t>Free Cash Flow</t>
  </si>
  <si>
    <t>Cash Flow Statement</t>
  </si>
  <si>
    <t>Capital Structure</t>
  </si>
  <si>
    <t>Price</t>
  </si>
  <si>
    <t>FDSO</t>
  </si>
  <si>
    <t>MC</t>
  </si>
  <si>
    <t>Cash</t>
  </si>
  <si>
    <t>Debt</t>
  </si>
  <si>
    <t>Net Debt</t>
  </si>
  <si>
    <t>EV</t>
  </si>
  <si>
    <t>P / FCF</t>
  </si>
  <si>
    <t>P / E</t>
  </si>
  <si>
    <t>Class A Common</t>
  </si>
  <si>
    <t>Class B Common</t>
  </si>
  <si>
    <t>Class C Common</t>
  </si>
  <si>
    <t>RSUs</t>
  </si>
  <si>
    <t>R&amp;D % Sales</t>
  </si>
  <si>
    <t>SG&amp;A % Sales</t>
  </si>
  <si>
    <t>G&amp;A % Sales</t>
  </si>
  <si>
    <t>Taxes</t>
  </si>
  <si>
    <t>D&amp;A % Sales</t>
  </si>
  <si>
    <t>SBC % Sales</t>
  </si>
  <si>
    <t>CapEx % Sales</t>
  </si>
  <si>
    <t>Total liabilities and stockholders' equity</t>
  </si>
  <si>
    <t>Total stockholders' equity</t>
  </si>
  <si>
    <t>Retained earnings</t>
  </si>
  <si>
    <t>Accumulated other comprehensive income (loss)</t>
  </si>
  <si>
    <t>Class A, Class B, and Class C stock and additional paid-in capital, $0.001 par value per share: 300,000 shares authorized (Class A 180,000, Class B 60,000, Class C 60,000); 12,211 (Class A 5,835, Class B 861, Class C 5,515) and 12,077 (Class A 5,818, Class B 842, Class C 5,417) shares issued and outstanding</t>
  </si>
  <si>
    <t>Convertible preferred stock, $0.001 par value per share, 100,000 shares authorized; no shares issued and outstanding</t>
  </si>
  <si>
    <t>Stockholders' equity:</t>
  </si>
  <si>
    <t>Contingencies (Note 10)</t>
  </si>
  <si>
    <t>Commitments and Contingencies (Note 10)</t>
  </si>
  <si>
    <t>Total liabilities</t>
  </si>
  <si>
    <t>Other long-term liabilities</t>
  </si>
  <si>
    <t>Operating lease liabilities</t>
  </si>
  <si>
    <t>Income taxes payable, non-current</t>
  </si>
  <si>
    <t>Deferred revenue, non-current</t>
  </si>
  <si>
    <t>Long-term debt</t>
  </si>
  <si>
    <t>Total current liabilities</t>
  </si>
  <si>
    <t>Income taxes payable, net</t>
  </si>
  <si>
    <t>Securities lending payable</t>
  </si>
  <si>
    <t>Accrued expenses and other current liabilities</t>
  </si>
  <si>
    <t>Accrued compensation and benefits</t>
  </si>
  <si>
    <t>Short-term debt</t>
  </si>
  <si>
    <t>Total assets</t>
  </si>
  <si>
    <t>Goodwill</t>
  </si>
  <si>
    <t>Intangible assets, net</t>
  </si>
  <si>
    <t>Operating lease assets</t>
  </si>
  <si>
    <t>Property and equipment, net</t>
  </si>
  <si>
    <t>Non-marketable investments</t>
  </si>
  <si>
    <t>Other non-current assets</t>
  </si>
  <si>
    <t>Total current assets</t>
  </si>
  <si>
    <t>Other current assets</t>
  </si>
  <si>
    <t>Inventory</t>
  </si>
  <si>
    <t>Income taxes receivable, net</t>
  </si>
  <si>
    <t>Receivable under reverse repurchase agreements</t>
  </si>
  <si>
    <t>Accounts receivable, net</t>
  </si>
  <si>
    <t>Marketable securities</t>
  </si>
  <si>
    <t>Cash and cash equivalents</t>
  </si>
  <si>
    <t>Capital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</si>
</sst>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0_);_(\(0\);_(&quot;-&quot;_);@_)"/>
    <numFmt numFmtId="165" formatCode="_(\$* #,##0_);_(\$* \(#,##0\);_(\$* &quot;-&quot;_);_(@_)"/>
    <numFmt numFmtId="166" formatCode="_(#,##0_);_(\(#,##0\);_(&quot;-&quot;_);_(@_)"/>
    <numFmt numFmtId="167" formatCode="yyyy\-mm\-dd"/>
    <numFmt numFmtId="168" formatCode="_(* #,##0_);_(* \(#,##0\);_(* &quot;-&quot;??_);_(@_)"/>
    <numFmt numFmtId="169" formatCode="0\x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5" fillId="0" borderId="0" xfId="0" applyFont="1"/>
    <xf numFmtId="167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5" fontId="7" fillId="0" borderId="0" xfId="0" applyNumberFormat="1" applyFont="1"/>
    <xf numFmtId="165" fontId="5" fillId="0" borderId="0" xfId="0" applyNumberFormat="1" applyFont="1"/>
    <xf numFmtId="166" fontId="7" fillId="0" borderId="0" xfId="0" applyNumberFormat="1" applyFont="1"/>
    <xf numFmtId="166" fontId="6" fillId="0" borderId="0" xfId="0" applyNumberFormat="1" applyFont="1"/>
    <xf numFmtId="0" fontId="8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left"/>
    </xf>
    <xf numFmtId="9" fontId="7" fillId="0" borderId="0" xfId="2" applyFont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66" fontId="7" fillId="0" borderId="1" xfId="0" applyNumberFormat="1" applyFont="1" applyBorder="1"/>
    <xf numFmtId="168" fontId="5" fillId="0" borderId="0" xfId="1" applyNumberFormat="1" applyFont="1"/>
    <xf numFmtId="168" fontId="7" fillId="0" borderId="0" xfId="1" applyNumberFormat="1" applyFont="1"/>
    <xf numFmtId="9" fontId="5" fillId="0" borderId="0" xfId="2" applyFont="1"/>
    <xf numFmtId="168" fontId="7" fillId="0" borderId="1" xfId="1" applyNumberFormat="1" applyFont="1" applyBorder="1"/>
    <xf numFmtId="168" fontId="5" fillId="0" borderId="1" xfId="1" applyNumberFormat="1" applyFont="1" applyBorder="1"/>
    <xf numFmtId="164" fontId="7" fillId="0" borderId="1" xfId="0" applyNumberFormat="1" applyFont="1" applyBorder="1" applyAlignment="1">
      <alignment horizontal="right"/>
    </xf>
    <xf numFmtId="0" fontId="10" fillId="2" borderId="0" xfId="0" applyFont="1" applyFill="1" applyAlignment="1">
      <alignment horizontal="left"/>
    </xf>
    <xf numFmtId="0" fontId="10" fillId="2" borderId="0" xfId="0" applyFont="1" applyFill="1"/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168" fontId="7" fillId="0" borderId="0" xfId="1" applyNumberFormat="1" applyFont="1" applyAlignment="1">
      <alignment horizontal="right"/>
    </xf>
    <xf numFmtId="167" fontId="5" fillId="0" borderId="1" xfId="0" applyNumberFormat="1" applyFont="1" applyBorder="1" applyAlignment="1">
      <alignment horizontal="right"/>
    </xf>
    <xf numFmtId="0" fontId="9" fillId="3" borderId="2" xfId="0" applyFont="1" applyFill="1" applyBorder="1"/>
    <xf numFmtId="167" fontId="9" fillId="3" borderId="3" xfId="0" applyNumberFormat="1" applyFont="1" applyFill="1" applyBorder="1" applyAlignment="1">
      <alignment horizontal="right"/>
    </xf>
    <xf numFmtId="0" fontId="9" fillId="3" borderId="5" xfId="0" applyFont="1" applyFill="1" applyBorder="1"/>
    <xf numFmtId="167" fontId="9" fillId="3" borderId="1" xfId="0" applyNumberFormat="1" applyFont="1" applyFill="1" applyBorder="1" applyAlignment="1">
      <alignment horizontal="right"/>
    </xf>
    <xf numFmtId="167" fontId="5" fillId="0" borderId="0" xfId="0" applyNumberFormat="1" applyFont="1" applyAlignment="1">
      <alignment horizontal="left"/>
    </xf>
    <xf numFmtId="168" fontId="5" fillId="0" borderId="0" xfId="1" applyNumberFormat="1" applyFont="1" applyAlignment="1">
      <alignment horizontal="right"/>
    </xf>
    <xf numFmtId="167" fontId="5" fillId="0" borderId="1" xfId="0" applyNumberFormat="1" applyFont="1" applyBorder="1" applyAlignment="1">
      <alignment horizontal="left"/>
    </xf>
    <xf numFmtId="168" fontId="5" fillId="0" borderId="1" xfId="1" applyNumberFormat="1" applyFont="1" applyBorder="1" applyAlignment="1">
      <alignment horizontal="right"/>
    </xf>
    <xf numFmtId="169" fontId="9" fillId="3" borderId="4" xfId="1" applyNumberFormat="1" applyFont="1" applyFill="1" applyBorder="1" applyAlignment="1">
      <alignment horizontal="right"/>
    </xf>
    <xf numFmtId="169" fontId="9" fillId="3" borderId="6" xfId="1" applyNumberFormat="1" applyFont="1" applyFill="1" applyBorder="1" applyAlignment="1">
      <alignment horizontal="right"/>
    </xf>
    <xf numFmtId="168" fontId="6" fillId="0" borderId="0" xfId="1" applyNumberFormat="1" applyFont="1" applyAlignment="1">
      <alignment horizontal="right"/>
    </xf>
    <xf numFmtId="0" fontId="5" fillId="4" borderId="0" xfId="0" applyFont="1" applyFill="1"/>
    <xf numFmtId="0" fontId="9" fillId="0" borderId="1" xfId="0" applyFont="1" applyBorder="1"/>
    <xf numFmtId="9" fontId="5" fillId="0" borderId="0" xfId="0" applyNumberFormat="1" applyFont="1"/>
    <xf numFmtId="168" fontId="5" fillId="0" borderId="0" xfId="0" applyNumberFormat="1" applyFont="1"/>
    <xf numFmtId="9" fontId="11" fillId="0" borderId="0" xfId="0" applyNumberFormat="1" applyFont="1"/>
    <xf numFmtId="9" fontId="11" fillId="0" borderId="0" xfId="2" applyFont="1"/>
    <xf numFmtId="168" fontId="11" fillId="0" borderId="1" xfId="0" applyNumberFormat="1" applyFont="1" applyBorder="1"/>
    <xf numFmtId="168" fontId="5" fillId="0" borderId="1" xfId="0" applyNumberFormat="1" applyFont="1" applyBorder="1"/>
    <xf numFmtId="164" fontId="6" fillId="3" borderId="8" xfId="0" applyNumberFormat="1" applyFont="1" applyFill="1" applyBorder="1" applyAlignment="1">
      <alignment horizontal="right"/>
    </xf>
    <xf numFmtId="0" fontId="6" fillId="3" borderId="7" xfId="0" applyFont="1" applyFill="1" applyBorder="1" applyAlignment="1">
      <alignment horizontal="left"/>
    </xf>
    <xf numFmtId="0" fontId="9" fillId="3" borderId="8" xfId="0" applyFont="1" applyFill="1" applyBorder="1"/>
    <xf numFmtId="169" fontId="9" fillId="3" borderId="8" xfId="0" applyNumberFormat="1" applyFont="1" applyFill="1" applyBorder="1"/>
    <xf numFmtId="169" fontId="9" fillId="3" borderId="9" xfId="0" applyNumberFormat="1" applyFont="1" applyFill="1" applyBorder="1"/>
    <xf numFmtId="0" fontId="10" fillId="2" borderId="10" xfId="0" applyFont="1" applyFill="1" applyBorder="1"/>
    <xf numFmtId="164" fontId="6" fillId="0" borderId="6" xfId="0" applyNumberFormat="1" applyFont="1" applyBorder="1" applyAlignment="1">
      <alignment horizontal="right"/>
    </xf>
    <xf numFmtId="168" fontId="5" fillId="0" borderId="10" xfId="1" applyNumberFormat="1" applyFont="1" applyBorder="1"/>
    <xf numFmtId="9" fontId="7" fillId="0" borderId="10" xfId="2" applyFont="1" applyBorder="1" applyAlignment="1">
      <alignment horizontal="right"/>
    </xf>
    <xf numFmtId="0" fontId="5" fillId="0" borderId="10" xfId="0" applyFont="1" applyBorder="1"/>
    <xf numFmtId="166" fontId="7" fillId="0" borderId="6" xfId="0" applyNumberFormat="1" applyFont="1" applyBorder="1"/>
    <xf numFmtId="9" fontId="5" fillId="0" borderId="10" xfId="2" applyFont="1" applyBorder="1"/>
    <xf numFmtId="166" fontId="7" fillId="0" borderId="10" xfId="0" applyNumberFormat="1" applyFont="1" applyBorder="1"/>
    <xf numFmtId="168" fontId="5" fillId="0" borderId="6" xfId="1" applyNumberFormat="1" applyFont="1" applyBorder="1"/>
    <xf numFmtId="168" fontId="7" fillId="0" borderId="10" xfId="1" applyNumberFormat="1" applyFont="1" applyBorder="1"/>
    <xf numFmtId="168" fontId="6" fillId="0" borderId="10" xfId="1" applyNumberFormat="1" applyFont="1" applyBorder="1" applyAlignment="1">
      <alignment horizontal="right"/>
    </xf>
    <xf numFmtId="0" fontId="9" fillId="3" borderId="9" xfId="0" applyFont="1" applyFill="1" applyBorder="1"/>
    <xf numFmtId="166" fontId="2" fillId="0" borderId="1" xfId="0" applyNumberFormat="1" applyFont="1" applyBorder="1"/>
    <xf numFmtId="0" fontId="0" fillId="0" borderId="1" xfId="0" applyBorder="1" applyAlignment="1">
      <alignment horizontal="left"/>
    </xf>
    <xf numFmtId="0" fontId="12" fillId="2" borderId="0" xfId="0" applyFont="1" applyFill="1" applyAlignment="1">
      <alignment horizontal="left"/>
    </xf>
    <xf numFmtId="9" fontId="7" fillId="0" borderId="0" xfId="2" applyFont="1"/>
    <xf numFmtId="43" fontId="5" fillId="0" borderId="0" xfId="1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137"/>
  <sheetViews>
    <sheetView showGridLines="0" tabSelected="1" workbookViewId="0"/>
  </sheetViews>
  <sheetFormatPr baseColWidth="10" defaultColWidth="8.83203125" defaultRowHeight="13" x14ac:dyDescent="0.15"/>
  <cols>
    <col min="1" max="1" width="3.83203125" style="7" customWidth="1"/>
    <col min="2" max="3" width="10.33203125" style="7" bestFit="1" customWidth="1"/>
    <col min="4" max="4" width="10.6640625" style="7" bestFit="1" customWidth="1"/>
    <col min="5" max="26" width="10.33203125" style="7" bestFit="1" customWidth="1"/>
    <col min="27" max="16384" width="8.83203125" style="7"/>
  </cols>
  <sheetData>
    <row r="1" spans="2:20" x14ac:dyDescent="0.15"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2:20" x14ac:dyDescent="0.15">
      <c r="B2" s="30" t="s">
        <v>71</v>
      </c>
      <c r="C2" s="31"/>
      <c r="D2" s="31"/>
      <c r="E2" s="8"/>
      <c r="F2" s="30" t="s">
        <v>73</v>
      </c>
      <c r="G2" s="31"/>
      <c r="H2" s="31"/>
      <c r="I2" s="31"/>
      <c r="J2" s="8"/>
      <c r="K2" s="8"/>
      <c r="L2" s="8"/>
      <c r="M2" s="8"/>
    </row>
    <row r="3" spans="2:20" x14ac:dyDescent="0.15">
      <c r="B3" s="7" t="s">
        <v>72</v>
      </c>
      <c r="C3" s="8"/>
      <c r="D3" s="41">
        <v>310</v>
      </c>
      <c r="E3" s="8"/>
      <c r="F3" s="40" t="s">
        <v>81</v>
      </c>
      <c r="G3" s="8"/>
      <c r="H3" s="8"/>
      <c r="I3" s="41">
        <v>5818</v>
      </c>
      <c r="J3" s="8"/>
      <c r="K3" s="8"/>
      <c r="L3" s="8"/>
      <c r="M3" s="8"/>
    </row>
    <row r="4" spans="2:20" x14ac:dyDescent="0.15">
      <c r="B4" s="22" t="s">
        <v>73</v>
      </c>
      <c r="C4" s="35"/>
      <c r="D4" s="43">
        <f>I7</f>
        <v>12390</v>
      </c>
      <c r="E4" s="8"/>
      <c r="F4" s="40" t="s">
        <v>82</v>
      </c>
      <c r="G4" s="8"/>
      <c r="H4" s="8"/>
      <c r="I4" s="41">
        <v>842</v>
      </c>
      <c r="J4" s="8"/>
      <c r="K4" s="8"/>
      <c r="L4" s="8"/>
      <c r="M4" s="8"/>
    </row>
    <row r="5" spans="2:20" x14ac:dyDescent="0.15">
      <c r="B5" s="7" t="s">
        <v>74</v>
      </c>
      <c r="C5" s="8"/>
      <c r="D5" s="41">
        <f>D3*D4</f>
        <v>3840900</v>
      </c>
      <c r="E5" s="8"/>
      <c r="F5" s="40" t="s">
        <v>83</v>
      </c>
      <c r="G5" s="8"/>
      <c r="H5" s="8"/>
      <c r="I5" s="41">
        <v>5407</v>
      </c>
      <c r="J5" s="8"/>
      <c r="K5" s="8"/>
      <c r="L5" s="8"/>
      <c r="M5" s="8"/>
    </row>
    <row r="6" spans="2:20" x14ac:dyDescent="0.15">
      <c r="C6" s="8"/>
      <c r="D6" s="8"/>
      <c r="E6" s="8"/>
      <c r="F6" s="42" t="s">
        <v>84</v>
      </c>
      <c r="G6" s="35"/>
      <c r="H6" s="35"/>
      <c r="I6" s="43">
        <v>323</v>
      </c>
      <c r="J6" s="8"/>
      <c r="K6" s="8"/>
      <c r="L6" s="8"/>
      <c r="M6" s="8"/>
    </row>
    <row r="7" spans="2:20" x14ac:dyDescent="0.15">
      <c r="B7" s="7" t="s">
        <v>75</v>
      </c>
      <c r="C7" s="8"/>
      <c r="D7" s="41">
        <f>-23466-72191</f>
        <v>-95657</v>
      </c>
      <c r="E7" s="8"/>
      <c r="F7" s="40" t="s">
        <v>73</v>
      </c>
      <c r="G7" s="8"/>
      <c r="H7" s="8"/>
      <c r="I7" s="41">
        <f>SUM(I3:I6)</f>
        <v>12390</v>
      </c>
      <c r="J7" s="8"/>
      <c r="K7" s="8"/>
      <c r="L7" s="8"/>
      <c r="M7" s="8"/>
    </row>
    <row r="8" spans="2:20" x14ac:dyDescent="0.15">
      <c r="B8" s="22" t="s">
        <v>76</v>
      </c>
      <c r="C8" s="35"/>
      <c r="D8" s="43">
        <v>10883</v>
      </c>
      <c r="E8" s="8"/>
      <c r="F8" s="40"/>
      <c r="G8" s="8"/>
      <c r="H8" s="8"/>
      <c r="I8" s="8"/>
      <c r="J8" s="8"/>
      <c r="K8" s="8"/>
      <c r="L8" s="8"/>
      <c r="M8" s="8"/>
    </row>
    <row r="9" spans="2:20" x14ac:dyDescent="0.15">
      <c r="B9" s="7" t="s">
        <v>77</v>
      </c>
      <c r="C9" s="8"/>
      <c r="D9" s="41">
        <f>D7+D8</f>
        <v>-84774</v>
      </c>
      <c r="E9" s="8"/>
      <c r="F9" s="40"/>
      <c r="G9" s="8"/>
      <c r="H9" s="8"/>
      <c r="I9" s="8"/>
      <c r="J9" s="8"/>
      <c r="K9" s="8"/>
      <c r="L9" s="8"/>
      <c r="M9" s="8"/>
    </row>
    <row r="10" spans="2:20" x14ac:dyDescent="0.15">
      <c r="C10" s="8"/>
      <c r="D10" s="8"/>
      <c r="E10" s="8"/>
      <c r="F10" s="40"/>
      <c r="G10" s="8"/>
      <c r="H10" s="8"/>
      <c r="I10" s="8"/>
      <c r="J10" s="8"/>
      <c r="K10" s="8"/>
      <c r="L10" s="8"/>
      <c r="M10" s="8"/>
    </row>
    <row r="11" spans="2:20" x14ac:dyDescent="0.15">
      <c r="B11" s="7" t="s">
        <v>78</v>
      </c>
      <c r="C11" s="8"/>
      <c r="D11" s="41">
        <f>D5+D9</f>
        <v>3756126</v>
      </c>
      <c r="E11" s="8"/>
      <c r="F11" s="8"/>
      <c r="G11" s="8"/>
      <c r="H11" s="8"/>
      <c r="I11" s="8"/>
      <c r="J11" s="8"/>
      <c r="K11" s="8"/>
      <c r="L11" s="8"/>
      <c r="M11" s="8"/>
    </row>
    <row r="12" spans="2:20" x14ac:dyDescent="0.1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2:20" x14ac:dyDescent="0.15">
      <c r="B13" s="36" t="s">
        <v>79</v>
      </c>
      <c r="C13" s="37"/>
      <c r="D13" s="44">
        <f>D11/R38</f>
        <v>75.333453670276768</v>
      </c>
      <c r="E13" s="8"/>
      <c r="F13" s="8"/>
      <c r="G13" s="8"/>
      <c r="H13" s="8"/>
      <c r="I13" s="8"/>
      <c r="J13" s="8"/>
      <c r="K13" s="8"/>
      <c r="L13" s="8"/>
      <c r="M13" s="8"/>
    </row>
    <row r="14" spans="2:20" x14ac:dyDescent="0.15">
      <c r="B14" s="38" t="s">
        <v>80</v>
      </c>
      <c r="C14" s="39"/>
      <c r="D14" s="45">
        <f>D11/R36</f>
        <v>30.230147041070094</v>
      </c>
      <c r="E14" s="8"/>
      <c r="F14" s="8"/>
      <c r="G14" s="8"/>
      <c r="H14" s="8"/>
      <c r="I14" s="8"/>
      <c r="J14" s="8"/>
      <c r="K14" s="8"/>
      <c r="L14" s="8"/>
      <c r="M14" s="8"/>
    </row>
    <row r="15" spans="2:20" x14ac:dyDescent="0.15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N15" s="10"/>
      <c r="O15" s="10"/>
      <c r="P15" s="10"/>
      <c r="R15" s="10"/>
      <c r="S15" s="10"/>
      <c r="T15" s="10"/>
    </row>
    <row r="16" spans="2:20" x14ac:dyDescent="0.15">
      <c r="B16" s="9"/>
      <c r="C16" s="11"/>
      <c r="D16" s="11"/>
      <c r="E16" s="11"/>
      <c r="F16" s="11"/>
      <c r="G16" s="11"/>
      <c r="H16" s="11"/>
      <c r="I16" s="11"/>
      <c r="J16" s="11"/>
      <c r="K16" s="11"/>
      <c r="L16" s="11"/>
      <c r="N16" s="10"/>
      <c r="O16" s="10"/>
      <c r="P16" s="10"/>
      <c r="R16" s="10"/>
      <c r="S16" s="10"/>
      <c r="T16" s="10"/>
    </row>
    <row r="17" spans="2:26" x14ac:dyDescent="0.15">
      <c r="B17" s="30" t="s">
        <v>68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2:26" x14ac:dyDescent="0.15">
      <c r="B18" s="32"/>
      <c r="C18" s="22"/>
      <c r="D18" s="22"/>
      <c r="E18" s="22"/>
      <c r="F18" s="22"/>
      <c r="G18" s="22"/>
      <c r="H18" s="33">
        <v>2015</v>
      </c>
      <c r="I18" s="33">
        <v>2016</v>
      </c>
      <c r="J18" s="33">
        <v>2017</v>
      </c>
      <c r="K18" s="33">
        <v>2018</v>
      </c>
      <c r="L18" s="33">
        <v>2019</v>
      </c>
      <c r="M18" s="33">
        <v>2020</v>
      </c>
      <c r="N18" s="33">
        <v>2021</v>
      </c>
      <c r="O18" s="33">
        <v>2022</v>
      </c>
      <c r="P18" s="33">
        <v>2023</v>
      </c>
      <c r="Q18" s="33">
        <v>2024</v>
      </c>
      <c r="R18" s="33" t="s">
        <v>63</v>
      </c>
      <c r="S18" s="18"/>
      <c r="T18" s="33" t="s">
        <v>11</v>
      </c>
      <c r="U18" s="33" t="s">
        <v>12</v>
      </c>
      <c r="V18" s="33" t="s">
        <v>13</v>
      </c>
      <c r="W18" s="33" t="s">
        <v>14</v>
      </c>
      <c r="X18" s="33" t="s">
        <v>15</v>
      </c>
      <c r="Y18" s="33" t="s">
        <v>16</v>
      </c>
      <c r="Z18" s="33" t="s">
        <v>17</v>
      </c>
    </row>
    <row r="19" spans="2:26" x14ac:dyDescent="0.15">
      <c r="B19" s="12" t="s">
        <v>0</v>
      </c>
      <c r="H19" s="25">
        <v>74989</v>
      </c>
      <c r="I19" s="25">
        <v>90272</v>
      </c>
      <c r="J19" s="25">
        <v>110855</v>
      </c>
      <c r="K19" s="25">
        <v>136819</v>
      </c>
      <c r="L19" s="25">
        <v>161857</v>
      </c>
      <c r="M19" s="25">
        <v>182527</v>
      </c>
      <c r="N19" s="25">
        <v>257637</v>
      </c>
      <c r="O19" s="25">
        <v>282836</v>
      </c>
      <c r="P19" s="25">
        <v>307394</v>
      </c>
      <c r="Q19" s="25">
        <v>350018</v>
      </c>
      <c r="R19" s="24">
        <v>385477</v>
      </c>
      <c r="S19" s="18"/>
      <c r="T19" s="13">
        <v>80539</v>
      </c>
      <c r="U19" s="13">
        <v>84742</v>
      </c>
      <c r="V19" s="13">
        <v>88268</v>
      </c>
      <c r="W19" s="14">
        <v>96469</v>
      </c>
      <c r="X19" s="13">
        <v>90234</v>
      </c>
      <c r="Y19" s="13">
        <v>96428</v>
      </c>
      <c r="Z19" s="13">
        <v>102346</v>
      </c>
    </row>
    <row r="20" spans="2:26" x14ac:dyDescent="0.15">
      <c r="B20" s="19" t="s">
        <v>64</v>
      </c>
      <c r="H20" s="10"/>
      <c r="I20" s="20">
        <f>I19/H19 - 1</f>
        <v>0.20380322447292265</v>
      </c>
      <c r="J20" s="20">
        <f t="shared" ref="J20:R20" si="0">J19/I19 - 1</f>
        <v>0.22801090038993266</v>
      </c>
      <c r="K20" s="20">
        <f t="shared" si="0"/>
        <v>0.23421586757475987</v>
      </c>
      <c r="L20" s="20">
        <f t="shared" si="0"/>
        <v>0.18300089899794614</v>
      </c>
      <c r="M20" s="20">
        <f t="shared" si="0"/>
        <v>0.12770532012826141</v>
      </c>
      <c r="N20" s="20">
        <f t="shared" si="0"/>
        <v>0.41150076427049154</v>
      </c>
      <c r="O20" s="20">
        <f t="shared" si="0"/>
        <v>9.7808156437157789E-2</v>
      </c>
      <c r="P20" s="20">
        <f t="shared" si="0"/>
        <v>8.6827702272695095E-2</v>
      </c>
      <c r="Q20" s="20">
        <f t="shared" si="0"/>
        <v>0.13866243322901561</v>
      </c>
      <c r="R20" s="20">
        <f t="shared" si="0"/>
        <v>0.10130621853733235</v>
      </c>
      <c r="S20" s="18"/>
      <c r="T20" s="10"/>
      <c r="U20" s="10"/>
      <c r="V20" s="10"/>
      <c r="X20" s="20">
        <f>X19/T19 - 1</f>
        <v>0.12037646357665222</v>
      </c>
      <c r="Y20" s="20">
        <f>Y19/U19 - 1</f>
        <v>0.13790092280097244</v>
      </c>
      <c r="Z20" s="20">
        <f>Z19/V19 - 1</f>
        <v>0.1594915484660353</v>
      </c>
    </row>
    <row r="21" spans="2:26" x14ac:dyDescent="0.15">
      <c r="B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S21" s="18"/>
      <c r="T21" s="10"/>
      <c r="U21" s="10"/>
      <c r="V21" s="10"/>
      <c r="X21" s="10"/>
      <c r="Y21" s="10"/>
      <c r="Z21" s="10"/>
    </row>
    <row r="22" spans="2:26" x14ac:dyDescent="0.15">
      <c r="B22" s="21" t="s">
        <v>1</v>
      </c>
      <c r="C22" s="22"/>
      <c r="D22" s="22"/>
      <c r="E22" s="22"/>
      <c r="F22" s="22"/>
      <c r="G22" s="23"/>
      <c r="H22" s="23">
        <v>-28164</v>
      </c>
      <c r="I22" s="23">
        <v>-35138</v>
      </c>
      <c r="J22" s="23">
        <v>-45583</v>
      </c>
      <c r="K22" s="23">
        <v>-59549</v>
      </c>
      <c r="L22" s="23">
        <v>-71896</v>
      </c>
      <c r="M22" s="23">
        <v>-84732</v>
      </c>
      <c r="N22" s="23">
        <v>-110939</v>
      </c>
      <c r="O22" s="23">
        <v>-126203</v>
      </c>
      <c r="P22" s="23">
        <v>-133332</v>
      </c>
      <c r="Q22" s="23">
        <v>-146306</v>
      </c>
      <c r="R22" s="23">
        <v>-157382</v>
      </c>
      <c r="S22" s="18"/>
      <c r="T22" s="23">
        <v>-33712</v>
      </c>
      <c r="U22" s="23">
        <v>-35507</v>
      </c>
      <c r="V22" s="23">
        <v>-36474</v>
      </c>
      <c r="W22" s="23">
        <v>-40613</v>
      </c>
      <c r="X22" s="23">
        <v>-36361</v>
      </c>
      <c r="Y22" s="23">
        <v>-39039</v>
      </c>
      <c r="Z22" s="23">
        <v>-41369</v>
      </c>
    </row>
    <row r="23" spans="2:26" x14ac:dyDescent="0.15">
      <c r="B23" s="7" t="s">
        <v>65</v>
      </c>
      <c r="H23" s="24">
        <f>H19+H22</f>
        <v>46825</v>
      </c>
      <c r="I23" s="24">
        <f t="shared" ref="I23:R23" si="1">I19+I22</f>
        <v>55134</v>
      </c>
      <c r="J23" s="24">
        <f t="shared" si="1"/>
        <v>65272</v>
      </c>
      <c r="K23" s="24">
        <f t="shared" si="1"/>
        <v>77270</v>
      </c>
      <c r="L23" s="24">
        <f t="shared" si="1"/>
        <v>89961</v>
      </c>
      <c r="M23" s="24">
        <f t="shared" si="1"/>
        <v>97795</v>
      </c>
      <c r="N23" s="24">
        <f t="shared" si="1"/>
        <v>146698</v>
      </c>
      <c r="O23" s="24">
        <f t="shared" si="1"/>
        <v>156633</v>
      </c>
      <c r="P23" s="24">
        <f t="shared" si="1"/>
        <v>174062</v>
      </c>
      <c r="Q23" s="24">
        <f t="shared" si="1"/>
        <v>203712</v>
      </c>
      <c r="R23" s="24">
        <f t="shared" si="1"/>
        <v>228095</v>
      </c>
      <c r="S23" s="18"/>
      <c r="T23" s="24">
        <f t="shared" ref="T23" si="2">T19+T22</f>
        <v>46827</v>
      </c>
      <c r="U23" s="24">
        <f t="shared" ref="U23" si="3">U19+U22</f>
        <v>49235</v>
      </c>
      <c r="V23" s="24">
        <f t="shared" ref="V23" si="4">V19+V22</f>
        <v>51794</v>
      </c>
      <c r="W23" s="24">
        <f t="shared" ref="W23" si="5">W19+W22</f>
        <v>55856</v>
      </c>
      <c r="X23" s="24">
        <f t="shared" ref="X23" si="6">X19+X22</f>
        <v>53873</v>
      </c>
      <c r="Y23" s="24">
        <f t="shared" ref="Y23" si="7">Y19+Y22</f>
        <v>57389</v>
      </c>
      <c r="Z23" s="24">
        <f t="shared" ref="Z23" si="8">Z19+Z22</f>
        <v>60977</v>
      </c>
    </row>
    <row r="24" spans="2:26" x14ac:dyDescent="0.15">
      <c r="B24" s="7" t="s">
        <v>66</v>
      </c>
      <c r="H24" s="26">
        <f>H23/H19</f>
        <v>0.62442491565429592</v>
      </c>
      <c r="I24" s="26">
        <f t="shared" ref="I24:R24" si="9">I23/I19</f>
        <v>0.61075416518964909</v>
      </c>
      <c r="J24" s="26">
        <f t="shared" si="9"/>
        <v>0.58880519597672631</v>
      </c>
      <c r="K24" s="26">
        <f t="shared" si="9"/>
        <v>0.5647607422945643</v>
      </c>
      <c r="L24" s="26">
        <f t="shared" si="9"/>
        <v>0.5558054331910266</v>
      </c>
      <c r="M24" s="26">
        <f t="shared" si="9"/>
        <v>0.53578374706207854</v>
      </c>
      <c r="N24" s="26">
        <f t="shared" si="9"/>
        <v>0.5693980290098084</v>
      </c>
      <c r="O24" s="26">
        <f t="shared" si="9"/>
        <v>0.55379442503783116</v>
      </c>
      <c r="P24" s="26">
        <f t="shared" si="9"/>
        <v>0.56625047984020505</v>
      </c>
      <c r="Q24" s="26">
        <f t="shared" si="9"/>
        <v>0.58200435406179107</v>
      </c>
      <c r="R24" s="26">
        <f t="shared" si="9"/>
        <v>0.59172142566223151</v>
      </c>
      <c r="S24" s="18"/>
      <c r="T24" s="26">
        <f t="shared" ref="T24:Z24" si="10">T23/T19</f>
        <v>0.58142018152696207</v>
      </c>
      <c r="U24" s="26">
        <f t="shared" si="10"/>
        <v>0.58099879634655782</v>
      </c>
      <c r="V24" s="26">
        <f t="shared" si="10"/>
        <v>0.58678116644763678</v>
      </c>
      <c r="W24" s="26">
        <f t="shared" si="10"/>
        <v>0.5790046543449191</v>
      </c>
      <c r="X24" s="26">
        <f t="shared" si="10"/>
        <v>0.5970365937451515</v>
      </c>
      <c r="Y24" s="26">
        <f t="shared" si="10"/>
        <v>0.59514871199236741</v>
      </c>
      <c r="Z24" s="26">
        <f t="shared" si="10"/>
        <v>0.59579270318331934</v>
      </c>
    </row>
    <row r="25" spans="2:26" x14ac:dyDescent="0.15">
      <c r="S25" s="18"/>
    </row>
    <row r="26" spans="2:26" x14ac:dyDescent="0.15">
      <c r="B26" s="12" t="s">
        <v>2</v>
      </c>
      <c r="H26" s="15">
        <v>-12282</v>
      </c>
      <c r="I26" s="15">
        <v>-13948</v>
      </c>
      <c r="J26" s="15">
        <v>-16625</v>
      </c>
      <c r="K26" s="15">
        <v>-21419</v>
      </c>
      <c r="L26" s="15">
        <v>-26018</v>
      </c>
      <c r="M26" s="15">
        <v>-27573</v>
      </c>
      <c r="N26" s="15">
        <v>-31562</v>
      </c>
      <c r="O26" s="15">
        <v>-39500</v>
      </c>
      <c r="P26" s="15">
        <v>-45427</v>
      </c>
      <c r="Q26" s="15">
        <v>-49326</v>
      </c>
      <c r="R26" s="15">
        <v>-55631</v>
      </c>
      <c r="S26" s="18"/>
      <c r="T26" s="15">
        <v>-11903</v>
      </c>
      <c r="U26" s="15">
        <v>-11860</v>
      </c>
      <c r="V26" s="15">
        <v>-12447</v>
      </c>
      <c r="W26" s="15">
        <v>-13116</v>
      </c>
      <c r="X26" s="15">
        <v>-13556</v>
      </c>
      <c r="Y26" s="15">
        <v>-13808</v>
      </c>
      <c r="Z26" s="15">
        <v>-15151</v>
      </c>
    </row>
    <row r="27" spans="2:26" x14ac:dyDescent="0.15">
      <c r="B27" s="12" t="s">
        <v>3</v>
      </c>
      <c r="H27" s="15">
        <v>-9047</v>
      </c>
      <c r="I27" s="15">
        <v>-10485</v>
      </c>
      <c r="J27" s="15">
        <v>-12893</v>
      </c>
      <c r="K27" s="15">
        <v>-16333</v>
      </c>
      <c r="L27" s="15">
        <v>-18464</v>
      </c>
      <c r="M27" s="15">
        <v>-17946</v>
      </c>
      <c r="N27" s="15">
        <v>-22912</v>
      </c>
      <c r="O27" s="15">
        <v>-26567</v>
      </c>
      <c r="P27" s="15">
        <v>-27917</v>
      </c>
      <c r="Q27" s="15">
        <v>-27808</v>
      </c>
      <c r="R27" s="15">
        <v>-27841</v>
      </c>
      <c r="S27" s="18"/>
      <c r="T27" s="15">
        <v>-6426</v>
      </c>
      <c r="U27" s="15">
        <v>-6792</v>
      </c>
      <c r="V27" s="15">
        <v>-7227</v>
      </c>
      <c r="W27" s="15">
        <v>-7363</v>
      </c>
      <c r="X27" s="15">
        <v>-6172</v>
      </c>
      <c r="Y27" s="15">
        <v>-7101</v>
      </c>
      <c r="Z27" s="15">
        <v>-7205</v>
      </c>
    </row>
    <row r="28" spans="2:26" x14ac:dyDescent="0.15">
      <c r="B28" s="12" t="s">
        <v>4</v>
      </c>
      <c r="H28" s="15">
        <v>-6136</v>
      </c>
      <c r="I28" s="15">
        <v>-6985</v>
      </c>
      <c r="J28" s="15">
        <v>-6872</v>
      </c>
      <c r="K28" s="15">
        <v>-6923</v>
      </c>
      <c r="L28" s="15">
        <v>-9551</v>
      </c>
      <c r="M28" s="15">
        <v>-11052</v>
      </c>
      <c r="N28" s="15">
        <v>-13510</v>
      </c>
      <c r="O28" s="15">
        <v>-15724</v>
      </c>
      <c r="P28" s="15">
        <v>-16425</v>
      </c>
      <c r="Q28" s="15">
        <v>-14188</v>
      </c>
      <c r="R28" s="15">
        <v>-20546</v>
      </c>
      <c r="S28" s="18"/>
      <c r="T28" s="15">
        <v>-3026</v>
      </c>
      <c r="U28" s="15">
        <v>-3158</v>
      </c>
      <c r="V28" s="15">
        <v>-3599</v>
      </c>
      <c r="W28" s="15">
        <v>-4405</v>
      </c>
      <c r="X28" s="15">
        <v>-3539</v>
      </c>
      <c r="Y28" s="15">
        <v>-5209</v>
      </c>
      <c r="Z28" s="15">
        <v>-7393</v>
      </c>
    </row>
    <row r="29" spans="2:26" x14ac:dyDescent="0.15">
      <c r="B29" s="21" t="s">
        <v>5</v>
      </c>
      <c r="C29" s="22"/>
      <c r="D29" s="22"/>
      <c r="E29" s="22"/>
      <c r="F29" s="22"/>
      <c r="G29" s="22"/>
      <c r="H29" s="23">
        <v>0</v>
      </c>
      <c r="I29" s="23">
        <v>0</v>
      </c>
      <c r="J29" s="23">
        <v>-2736</v>
      </c>
      <c r="K29" s="23">
        <v>-5071</v>
      </c>
      <c r="L29" s="23">
        <v>-1697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18"/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</row>
    <row r="30" spans="2:26" x14ac:dyDescent="0.15">
      <c r="B30" s="12" t="s">
        <v>6</v>
      </c>
      <c r="H30" s="15">
        <f>SUM(H26:H29)</f>
        <v>-27465</v>
      </c>
      <c r="I30" s="15">
        <f t="shared" ref="I30:R30" si="11">SUM(I26:I29)</f>
        <v>-31418</v>
      </c>
      <c r="J30" s="15">
        <f t="shared" si="11"/>
        <v>-39126</v>
      </c>
      <c r="K30" s="15">
        <f t="shared" si="11"/>
        <v>-49746</v>
      </c>
      <c r="L30" s="15">
        <f t="shared" si="11"/>
        <v>-55730</v>
      </c>
      <c r="M30" s="15">
        <f t="shared" si="11"/>
        <v>-56571</v>
      </c>
      <c r="N30" s="15">
        <f t="shared" si="11"/>
        <v>-67984</v>
      </c>
      <c r="O30" s="15">
        <f t="shared" si="11"/>
        <v>-81791</v>
      </c>
      <c r="P30" s="15">
        <f t="shared" si="11"/>
        <v>-89769</v>
      </c>
      <c r="Q30" s="15">
        <f t="shared" si="11"/>
        <v>-91322</v>
      </c>
      <c r="R30" s="15">
        <f t="shared" si="11"/>
        <v>-104018</v>
      </c>
      <c r="S30" s="18"/>
      <c r="T30" s="15">
        <f t="shared" ref="T30:Z30" si="12">SUM(T26:T29)</f>
        <v>-21355</v>
      </c>
      <c r="U30" s="15">
        <f t="shared" si="12"/>
        <v>-21810</v>
      </c>
      <c r="V30" s="15">
        <f t="shared" si="12"/>
        <v>-23273</v>
      </c>
      <c r="W30" s="15">
        <f t="shared" si="12"/>
        <v>-24884</v>
      </c>
      <c r="X30" s="15">
        <f t="shared" si="12"/>
        <v>-23267</v>
      </c>
      <c r="Y30" s="15">
        <f t="shared" si="12"/>
        <v>-26118</v>
      </c>
      <c r="Z30" s="15">
        <f t="shared" si="12"/>
        <v>-29749</v>
      </c>
    </row>
    <row r="31" spans="2:26" x14ac:dyDescent="0.15">
      <c r="B31" s="12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8"/>
      <c r="T31" s="15"/>
      <c r="U31" s="15"/>
      <c r="V31" s="15"/>
      <c r="W31" s="15"/>
      <c r="X31" s="15"/>
      <c r="Y31" s="15"/>
      <c r="Z31" s="15"/>
    </row>
    <row r="32" spans="2:26" x14ac:dyDescent="0.15">
      <c r="B32" s="12" t="s">
        <v>67</v>
      </c>
      <c r="H32" s="15">
        <f>H23+H30</f>
        <v>19360</v>
      </c>
      <c r="I32" s="15">
        <f t="shared" ref="I32:R32" si="13">I23+I30</f>
        <v>23716</v>
      </c>
      <c r="J32" s="15">
        <f t="shared" si="13"/>
        <v>26146</v>
      </c>
      <c r="K32" s="15">
        <f t="shared" si="13"/>
        <v>27524</v>
      </c>
      <c r="L32" s="15">
        <f t="shared" si="13"/>
        <v>34231</v>
      </c>
      <c r="M32" s="15">
        <f t="shared" si="13"/>
        <v>41224</v>
      </c>
      <c r="N32" s="15">
        <f t="shared" si="13"/>
        <v>78714</v>
      </c>
      <c r="O32" s="15">
        <f t="shared" si="13"/>
        <v>74842</v>
      </c>
      <c r="P32" s="15">
        <f t="shared" si="13"/>
        <v>84293</v>
      </c>
      <c r="Q32" s="15">
        <f t="shared" si="13"/>
        <v>112390</v>
      </c>
      <c r="R32" s="15">
        <f t="shared" si="13"/>
        <v>124077</v>
      </c>
      <c r="S32" s="18"/>
      <c r="T32" s="15">
        <f t="shared" ref="T32:Z32" si="14">T23+T30</f>
        <v>25472</v>
      </c>
      <c r="U32" s="15">
        <f t="shared" si="14"/>
        <v>27425</v>
      </c>
      <c r="V32" s="15">
        <f t="shared" si="14"/>
        <v>28521</v>
      </c>
      <c r="W32" s="15">
        <f t="shared" si="14"/>
        <v>30972</v>
      </c>
      <c r="X32" s="15">
        <f t="shared" si="14"/>
        <v>30606</v>
      </c>
      <c r="Y32" s="15">
        <f t="shared" si="14"/>
        <v>31271</v>
      </c>
      <c r="Z32" s="15">
        <f t="shared" si="14"/>
        <v>31228</v>
      </c>
    </row>
    <row r="33" spans="2:30" x14ac:dyDescent="0.15">
      <c r="B33" s="21" t="s">
        <v>7</v>
      </c>
      <c r="C33" s="22"/>
      <c r="D33" s="22"/>
      <c r="E33" s="22"/>
      <c r="F33" s="22"/>
      <c r="G33" s="22"/>
      <c r="H33" s="27">
        <v>291</v>
      </c>
      <c r="I33" s="27">
        <v>434</v>
      </c>
      <c r="J33" s="27">
        <v>1047</v>
      </c>
      <c r="K33" s="27">
        <v>7389</v>
      </c>
      <c r="L33" s="27">
        <v>5394</v>
      </c>
      <c r="M33" s="27">
        <v>6858</v>
      </c>
      <c r="N33" s="27">
        <v>12020</v>
      </c>
      <c r="O33" s="27">
        <v>-3514</v>
      </c>
      <c r="P33" s="27">
        <v>1424</v>
      </c>
      <c r="Q33" s="27">
        <v>7425</v>
      </c>
      <c r="R33" s="28">
        <v>27875</v>
      </c>
      <c r="S33" s="18"/>
      <c r="T33" s="27">
        <v>2843</v>
      </c>
      <c r="U33" s="27">
        <v>126</v>
      </c>
      <c r="V33" s="27">
        <v>3185</v>
      </c>
      <c r="W33" s="28">
        <v>1271</v>
      </c>
      <c r="X33" s="27">
        <v>11183</v>
      </c>
      <c r="Y33" s="27">
        <v>2662</v>
      </c>
      <c r="Z33" s="27">
        <v>12759</v>
      </c>
    </row>
    <row r="34" spans="2:30" x14ac:dyDescent="0.15">
      <c r="B34" s="12" t="s">
        <v>8</v>
      </c>
      <c r="H34" s="15">
        <f>H32+H33</f>
        <v>19651</v>
      </c>
      <c r="I34" s="15">
        <f t="shared" ref="I34:P34" si="15">I32+I33</f>
        <v>24150</v>
      </c>
      <c r="J34" s="15">
        <f t="shared" si="15"/>
        <v>27193</v>
      </c>
      <c r="K34" s="15">
        <f t="shared" si="15"/>
        <v>34913</v>
      </c>
      <c r="L34" s="15">
        <f t="shared" si="15"/>
        <v>39625</v>
      </c>
      <c r="M34" s="15">
        <f t="shared" si="15"/>
        <v>48082</v>
      </c>
      <c r="N34" s="15">
        <f t="shared" si="15"/>
        <v>90734</v>
      </c>
      <c r="O34" s="15">
        <f t="shared" si="15"/>
        <v>71328</v>
      </c>
      <c r="P34" s="15">
        <f t="shared" si="15"/>
        <v>85717</v>
      </c>
      <c r="Q34" s="15">
        <f>Q32+Q33</f>
        <v>119815</v>
      </c>
      <c r="R34" s="15">
        <f>R32+R33</f>
        <v>151952</v>
      </c>
      <c r="S34" s="18"/>
      <c r="T34" s="15">
        <f t="shared" ref="T34:Z34" si="16">T32+T33</f>
        <v>28315</v>
      </c>
      <c r="U34" s="15">
        <f t="shared" si="16"/>
        <v>27551</v>
      </c>
      <c r="V34" s="15">
        <f t="shared" si="16"/>
        <v>31706</v>
      </c>
      <c r="W34" s="15">
        <f t="shared" si="16"/>
        <v>32243</v>
      </c>
      <c r="X34" s="15">
        <f t="shared" si="16"/>
        <v>41789</v>
      </c>
      <c r="Y34" s="15">
        <f t="shared" si="16"/>
        <v>33933</v>
      </c>
      <c r="Z34" s="15">
        <f t="shared" si="16"/>
        <v>43987</v>
      </c>
    </row>
    <row r="35" spans="2:30" x14ac:dyDescent="0.15">
      <c r="B35" s="21" t="s">
        <v>9</v>
      </c>
      <c r="C35" s="22"/>
      <c r="D35" s="22"/>
      <c r="E35" s="22"/>
      <c r="F35" s="22"/>
      <c r="G35" s="23"/>
      <c r="H35" s="23">
        <v>-3303</v>
      </c>
      <c r="I35" s="23">
        <v>-4672</v>
      </c>
      <c r="J35" s="23">
        <v>-14531</v>
      </c>
      <c r="K35" s="23">
        <v>-4177</v>
      </c>
      <c r="L35" s="23">
        <v>-5282</v>
      </c>
      <c r="M35" s="23">
        <v>-7813</v>
      </c>
      <c r="N35" s="23">
        <v>-14701</v>
      </c>
      <c r="O35" s="23">
        <v>-11356</v>
      </c>
      <c r="P35" s="23">
        <v>-11922</v>
      </c>
      <c r="Q35" s="23">
        <v>-19697</v>
      </c>
      <c r="R35" s="23">
        <v>-27701</v>
      </c>
      <c r="S35" s="18"/>
      <c r="T35" s="23">
        <v>-4653</v>
      </c>
      <c r="U35" s="23">
        <v>-3932</v>
      </c>
      <c r="V35" s="23">
        <v>-5405</v>
      </c>
      <c r="W35" s="23">
        <v>-5707</v>
      </c>
      <c r="X35" s="23">
        <v>-7249</v>
      </c>
      <c r="Y35" s="23">
        <v>-5737</v>
      </c>
      <c r="Z35" s="23">
        <v>-9008</v>
      </c>
    </row>
    <row r="36" spans="2:30" x14ac:dyDescent="0.15">
      <c r="B36" s="12" t="s">
        <v>10</v>
      </c>
      <c r="H36" s="25">
        <f>H34+H35</f>
        <v>16348</v>
      </c>
      <c r="I36" s="25">
        <f>I34+I35</f>
        <v>19478</v>
      </c>
      <c r="J36" s="25">
        <f>J34+J35</f>
        <v>12662</v>
      </c>
      <c r="K36" s="25">
        <f t="shared" ref="K36:R36" si="17">K34+K35</f>
        <v>30736</v>
      </c>
      <c r="L36" s="25">
        <f t="shared" si="17"/>
        <v>34343</v>
      </c>
      <c r="M36" s="25">
        <f t="shared" si="17"/>
        <v>40269</v>
      </c>
      <c r="N36" s="25">
        <f t="shared" si="17"/>
        <v>76033</v>
      </c>
      <c r="O36" s="25">
        <f t="shared" si="17"/>
        <v>59972</v>
      </c>
      <c r="P36" s="25">
        <f t="shared" si="17"/>
        <v>73795</v>
      </c>
      <c r="Q36" s="25">
        <f t="shared" si="17"/>
        <v>100118</v>
      </c>
      <c r="R36" s="25">
        <f t="shared" si="17"/>
        <v>124251</v>
      </c>
      <c r="S36" s="18"/>
      <c r="T36" s="25">
        <f t="shared" ref="T36:Z36" si="18">T34+T35</f>
        <v>23662</v>
      </c>
      <c r="U36" s="25">
        <f t="shared" si="18"/>
        <v>23619</v>
      </c>
      <c r="V36" s="25">
        <f t="shared" si="18"/>
        <v>26301</v>
      </c>
      <c r="W36" s="25">
        <f t="shared" si="18"/>
        <v>26536</v>
      </c>
      <c r="X36" s="25">
        <f t="shared" si="18"/>
        <v>34540</v>
      </c>
      <c r="Y36" s="25">
        <f t="shared" si="18"/>
        <v>28196</v>
      </c>
      <c r="Z36" s="25">
        <f t="shared" si="18"/>
        <v>34979</v>
      </c>
    </row>
    <row r="37" spans="2:30" x14ac:dyDescent="0.15">
      <c r="S37" s="18"/>
    </row>
    <row r="38" spans="2:30" x14ac:dyDescent="0.15">
      <c r="B38" s="9" t="s">
        <v>69</v>
      </c>
      <c r="C38" s="18"/>
      <c r="D38" s="18"/>
      <c r="E38" s="18"/>
      <c r="F38" s="46">
        <f t="shared" ref="F38:R38" si="19">F61-F46+F63</f>
        <v>7958</v>
      </c>
      <c r="G38" s="46">
        <f t="shared" si="19"/>
        <v>7138</v>
      </c>
      <c r="H38" s="46">
        <f t="shared" si="19"/>
        <v>10906</v>
      </c>
      <c r="I38" s="46">
        <f t="shared" si="19"/>
        <v>19121</v>
      </c>
      <c r="J38" s="46">
        <f t="shared" si="19"/>
        <v>16228</v>
      </c>
      <c r="K38" s="46">
        <f t="shared" si="19"/>
        <v>13479</v>
      </c>
      <c r="L38" s="46">
        <f t="shared" si="19"/>
        <v>20178</v>
      </c>
      <c r="M38" s="46">
        <f t="shared" si="19"/>
        <v>29852</v>
      </c>
      <c r="N38" s="46">
        <f t="shared" si="19"/>
        <v>51636</v>
      </c>
      <c r="O38" s="46">
        <f t="shared" si="19"/>
        <v>40648</v>
      </c>
      <c r="P38" s="46">
        <f t="shared" si="19"/>
        <v>47035</v>
      </c>
      <c r="Q38" s="46">
        <f t="shared" si="19"/>
        <v>49979</v>
      </c>
      <c r="R38" s="46">
        <f t="shared" si="19"/>
        <v>49860</v>
      </c>
      <c r="S38" s="18"/>
      <c r="T38" s="46">
        <f t="shared" ref="T38:Z38" si="20">T61-T46+T63</f>
        <v>11572</v>
      </c>
      <c r="U38" s="46">
        <f t="shared" si="20"/>
        <v>7589</v>
      </c>
      <c r="V38" s="46">
        <f t="shared" si="20"/>
        <v>11791</v>
      </c>
      <c r="W38" s="46">
        <f t="shared" si="20"/>
        <v>19027</v>
      </c>
      <c r="X38" s="46">
        <f t="shared" si="20"/>
        <v>13437</v>
      </c>
      <c r="Y38" s="46">
        <f t="shared" si="20"/>
        <v>-697</v>
      </c>
      <c r="Z38" s="46">
        <f t="shared" si="20"/>
        <v>18093</v>
      </c>
    </row>
    <row r="39" spans="2:30" x14ac:dyDescent="0.15">
      <c r="B39" s="9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T39" s="10"/>
      <c r="U39" s="10"/>
      <c r="V39" s="10"/>
      <c r="X39" s="10"/>
      <c r="Y39" s="10"/>
      <c r="Z39" s="10"/>
    </row>
    <row r="40" spans="2:30" x14ac:dyDescent="0.15">
      <c r="B40" s="30" t="s">
        <v>70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14"/>
      <c r="AB40" s="14"/>
      <c r="AC40" s="14"/>
      <c r="AD40" s="14"/>
    </row>
    <row r="41" spans="2:30" x14ac:dyDescent="0.15">
      <c r="B41" s="32"/>
      <c r="C41" s="22"/>
      <c r="D41" s="22"/>
      <c r="E41" s="22"/>
      <c r="F41" s="22"/>
      <c r="G41" s="22"/>
      <c r="H41" s="33">
        <v>2015</v>
      </c>
      <c r="I41" s="33">
        <v>2016</v>
      </c>
      <c r="J41" s="33">
        <v>2017</v>
      </c>
      <c r="K41" s="33">
        <v>2018</v>
      </c>
      <c r="L41" s="33">
        <v>2019</v>
      </c>
      <c r="M41" s="33">
        <v>2020</v>
      </c>
      <c r="N41" s="33">
        <v>2021</v>
      </c>
      <c r="O41" s="33">
        <v>2022</v>
      </c>
      <c r="P41" s="33">
        <v>2023</v>
      </c>
      <c r="Q41" s="33">
        <v>2024</v>
      </c>
      <c r="R41" s="33" t="s">
        <v>63</v>
      </c>
      <c r="S41" s="22"/>
      <c r="T41" s="33" t="s">
        <v>11</v>
      </c>
      <c r="U41" s="33" t="s">
        <v>12</v>
      </c>
      <c r="V41" s="33" t="s">
        <v>13</v>
      </c>
      <c r="W41" s="33" t="s">
        <v>14</v>
      </c>
      <c r="X41" s="33" t="s">
        <v>15</v>
      </c>
      <c r="Y41" s="33" t="s">
        <v>16</v>
      </c>
      <c r="Z41" s="33" t="s">
        <v>17</v>
      </c>
    </row>
    <row r="42" spans="2:30" x14ac:dyDescent="0.15">
      <c r="B42" s="12" t="s">
        <v>10</v>
      </c>
      <c r="F42" s="25">
        <v>12733</v>
      </c>
      <c r="G42" s="25">
        <v>14136</v>
      </c>
      <c r="H42" s="25">
        <v>16348</v>
      </c>
      <c r="I42" s="25">
        <v>19478</v>
      </c>
      <c r="J42" s="25">
        <v>12662</v>
      </c>
      <c r="K42" s="25">
        <v>30736</v>
      </c>
      <c r="L42" s="25">
        <v>34343</v>
      </c>
      <c r="M42" s="25">
        <v>40269</v>
      </c>
      <c r="N42" s="25">
        <v>76033</v>
      </c>
      <c r="O42" s="25">
        <v>59972</v>
      </c>
      <c r="P42" s="25">
        <v>73795</v>
      </c>
      <c r="Q42" s="25">
        <v>100118</v>
      </c>
      <c r="R42" s="25">
        <v>124251</v>
      </c>
      <c r="S42" s="25"/>
      <c r="T42" s="25">
        <v>23662</v>
      </c>
      <c r="U42" s="25">
        <v>23619</v>
      </c>
      <c r="V42" s="25">
        <v>26301</v>
      </c>
      <c r="W42" s="25">
        <v>26536</v>
      </c>
      <c r="X42" s="25">
        <v>34540</v>
      </c>
      <c r="Y42" s="25">
        <v>28196</v>
      </c>
      <c r="Z42" s="25">
        <v>34979</v>
      </c>
      <c r="AA42" s="14"/>
      <c r="AB42" s="14"/>
      <c r="AC42" s="14"/>
      <c r="AD42" s="14"/>
    </row>
    <row r="43" spans="2:30" x14ac:dyDescent="0.15">
      <c r="B43" s="9" t="s">
        <v>62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2:30" x14ac:dyDescent="0.15">
      <c r="B44" s="12" t="s">
        <v>61</v>
      </c>
      <c r="F44" s="15">
        <v>2781</v>
      </c>
      <c r="G44" s="15">
        <v>3523</v>
      </c>
      <c r="H44" s="15">
        <v>4132</v>
      </c>
      <c r="I44" s="15">
        <v>5267</v>
      </c>
      <c r="J44" s="15">
        <v>6103</v>
      </c>
      <c r="K44" s="15">
        <v>8164</v>
      </c>
      <c r="L44" s="15">
        <v>10856</v>
      </c>
      <c r="M44" s="15">
        <v>12905</v>
      </c>
      <c r="N44" s="15">
        <v>11555</v>
      </c>
      <c r="O44" s="15">
        <v>13475</v>
      </c>
      <c r="P44" s="15">
        <v>11946</v>
      </c>
      <c r="Q44" s="15">
        <v>15311</v>
      </c>
      <c r="R44" s="15">
        <v>19301</v>
      </c>
      <c r="S44" s="18"/>
      <c r="T44" s="15">
        <v>3413</v>
      </c>
      <c r="U44" s="15">
        <v>3708</v>
      </c>
      <c r="V44" s="15">
        <v>3985</v>
      </c>
      <c r="W44" s="15">
        <v>4205</v>
      </c>
      <c r="X44" s="15">
        <v>4487</v>
      </c>
      <c r="Y44" s="15">
        <v>4998</v>
      </c>
      <c r="Z44" s="15">
        <v>5611</v>
      </c>
      <c r="AA44" s="14"/>
      <c r="AB44" s="14"/>
      <c r="AC44" s="14"/>
      <c r="AD44" s="14"/>
    </row>
    <row r="45" spans="2:30" x14ac:dyDescent="0.15">
      <c r="B45" s="12" t="s">
        <v>60</v>
      </c>
      <c r="F45" s="15">
        <v>1158</v>
      </c>
      <c r="G45" s="15">
        <v>1456</v>
      </c>
      <c r="H45" s="15">
        <v>931</v>
      </c>
      <c r="I45" s="15">
        <v>877</v>
      </c>
      <c r="J45" s="15">
        <v>812</v>
      </c>
      <c r="K45" s="15">
        <v>871</v>
      </c>
      <c r="L45" s="15">
        <v>925</v>
      </c>
      <c r="M45" s="15">
        <v>792</v>
      </c>
      <c r="N45" s="15">
        <v>886</v>
      </c>
      <c r="O45" s="15">
        <v>0</v>
      </c>
      <c r="P45" s="15">
        <v>0</v>
      </c>
      <c r="Q45" s="15">
        <v>0</v>
      </c>
      <c r="R45" s="15">
        <v>0</v>
      </c>
      <c r="S45" s="18"/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</row>
    <row r="46" spans="2:30" x14ac:dyDescent="0.15">
      <c r="B46" s="12" t="s">
        <v>59</v>
      </c>
      <c r="F46" s="15">
        <v>3343</v>
      </c>
      <c r="G46" s="15">
        <v>4279</v>
      </c>
      <c r="H46" s="15">
        <v>5203</v>
      </c>
      <c r="I46" s="15">
        <v>6703</v>
      </c>
      <c r="J46" s="15">
        <v>7679</v>
      </c>
      <c r="K46" s="15">
        <v>9353</v>
      </c>
      <c r="L46" s="15">
        <v>10794</v>
      </c>
      <c r="M46" s="15">
        <v>12991</v>
      </c>
      <c r="N46" s="15">
        <v>15376</v>
      </c>
      <c r="O46" s="15">
        <v>19362</v>
      </c>
      <c r="P46" s="15">
        <v>22460</v>
      </c>
      <c r="Q46" s="15">
        <v>22785</v>
      </c>
      <c r="R46" s="15">
        <v>23692</v>
      </c>
      <c r="S46" s="18"/>
      <c r="T46" s="15">
        <v>5264</v>
      </c>
      <c r="U46" s="15">
        <v>5865</v>
      </c>
      <c r="V46" s="15">
        <v>5846</v>
      </c>
      <c r="W46" s="15">
        <v>5810</v>
      </c>
      <c r="X46" s="15">
        <v>5516</v>
      </c>
      <c r="Y46" s="15">
        <v>5998</v>
      </c>
      <c r="Z46" s="15">
        <v>6368</v>
      </c>
      <c r="AA46" s="14"/>
      <c r="AB46" s="14"/>
      <c r="AC46" s="14"/>
      <c r="AD46" s="14"/>
    </row>
    <row r="47" spans="2:30" x14ac:dyDescent="0.15">
      <c r="B47" s="12" t="s">
        <v>28</v>
      </c>
      <c r="F47" s="15">
        <v>-481</v>
      </c>
      <c r="G47" s="15">
        <v>-648</v>
      </c>
      <c r="H47" s="15">
        <v>-548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8"/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4"/>
      <c r="AB47" s="14"/>
      <c r="AC47" s="14"/>
      <c r="AD47" s="14"/>
    </row>
    <row r="48" spans="2:30" x14ac:dyDescent="0.15">
      <c r="B48" s="12" t="s">
        <v>58</v>
      </c>
      <c r="F48" s="15">
        <v>-437</v>
      </c>
      <c r="G48" s="15">
        <v>-104</v>
      </c>
      <c r="H48" s="15">
        <v>-179</v>
      </c>
      <c r="I48" s="15">
        <v>-38</v>
      </c>
      <c r="J48" s="15">
        <v>258</v>
      </c>
      <c r="K48" s="15">
        <v>778</v>
      </c>
      <c r="L48" s="15">
        <v>173</v>
      </c>
      <c r="M48" s="15">
        <v>1390</v>
      </c>
      <c r="N48" s="15">
        <v>1808</v>
      </c>
      <c r="O48" s="15">
        <v>-8081</v>
      </c>
      <c r="P48" s="15">
        <v>-7763</v>
      </c>
      <c r="Q48" s="15">
        <v>-5257</v>
      </c>
      <c r="R48" s="15">
        <v>5682</v>
      </c>
      <c r="S48" s="18"/>
      <c r="T48" s="15">
        <v>419</v>
      </c>
      <c r="U48" s="15">
        <v>-3157</v>
      </c>
      <c r="V48" s="15">
        <v>-1071</v>
      </c>
      <c r="W48" s="15">
        <v>-1448</v>
      </c>
      <c r="X48" s="15">
        <v>-1152</v>
      </c>
      <c r="Y48" s="15">
        <v>-444</v>
      </c>
      <c r="Z48" s="15">
        <v>8726</v>
      </c>
    </row>
    <row r="49" spans="2:30" x14ac:dyDescent="0.15">
      <c r="B49" s="12" t="s">
        <v>57</v>
      </c>
      <c r="F49" s="11"/>
      <c r="G49" s="11"/>
      <c r="H49" s="11"/>
      <c r="I49" s="11">
        <v>73</v>
      </c>
      <c r="J49" s="11"/>
      <c r="K49" s="11">
        <v>-6650</v>
      </c>
      <c r="L49" s="11">
        <v>-2798</v>
      </c>
      <c r="M49" s="11">
        <v>-6317</v>
      </c>
      <c r="N49" s="11">
        <v>-12270</v>
      </c>
      <c r="O49" s="11">
        <v>5519</v>
      </c>
      <c r="P49" s="11">
        <v>823</v>
      </c>
      <c r="Q49" s="11">
        <v>-2671</v>
      </c>
      <c r="R49" s="11">
        <v>-22199</v>
      </c>
      <c r="S49" s="18"/>
      <c r="T49" s="11">
        <v>-1781</v>
      </c>
      <c r="U49" s="11">
        <v>1024</v>
      </c>
      <c r="V49" s="11">
        <v>-1981</v>
      </c>
      <c r="W49" s="11">
        <v>67</v>
      </c>
      <c r="X49" s="11">
        <v>-9960</v>
      </c>
      <c r="Y49" s="11">
        <v>-1451</v>
      </c>
      <c r="Z49" s="11">
        <v>-10855</v>
      </c>
    </row>
    <row r="50" spans="2:30" x14ac:dyDescent="0.15">
      <c r="B50" s="12" t="s">
        <v>56</v>
      </c>
      <c r="F50" s="15">
        <v>-700</v>
      </c>
      <c r="G50" s="15">
        <v>-740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8"/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4"/>
      <c r="AB50" s="14"/>
      <c r="AC50" s="14"/>
      <c r="AD50" s="14"/>
    </row>
    <row r="51" spans="2:30" x14ac:dyDescent="0.15">
      <c r="B51" s="12" t="s">
        <v>55</v>
      </c>
      <c r="F51" s="15">
        <v>-166</v>
      </c>
      <c r="G51" s="15">
        <v>-390</v>
      </c>
      <c r="H51" s="15">
        <v>334</v>
      </c>
      <c r="I51" s="15">
        <v>0</v>
      </c>
      <c r="J51" s="15">
        <v>194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8"/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</row>
    <row r="52" spans="2:30" x14ac:dyDescent="0.15">
      <c r="B52" s="12" t="s">
        <v>54</v>
      </c>
      <c r="F52" s="15">
        <v>272</v>
      </c>
      <c r="G52" s="15">
        <v>192</v>
      </c>
      <c r="H52" s="15">
        <v>212</v>
      </c>
      <c r="I52" s="15">
        <v>376</v>
      </c>
      <c r="J52" s="15">
        <v>137</v>
      </c>
      <c r="K52" s="15">
        <v>-189</v>
      </c>
      <c r="L52" s="15">
        <v>-592</v>
      </c>
      <c r="M52" s="15">
        <v>1267</v>
      </c>
      <c r="N52" s="15">
        <v>-213</v>
      </c>
      <c r="O52" s="15">
        <v>3483</v>
      </c>
      <c r="P52" s="15">
        <v>4330</v>
      </c>
      <c r="Q52" s="15">
        <v>3419</v>
      </c>
      <c r="R52" s="15">
        <v>1670</v>
      </c>
      <c r="S52" s="18"/>
      <c r="T52" s="15">
        <v>334</v>
      </c>
      <c r="U52" s="15">
        <v>851</v>
      </c>
      <c r="V52" s="15">
        <v>1407</v>
      </c>
      <c r="W52" s="15">
        <v>827</v>
      </c>
      <c r="X52" s="15">
        <v>481</v>
      </c>
      <c r="Y52" s="15">
        <v>560</v>
      </c>
      <c r="Z52" s="15">
        <v>-198</v>
      </c>
      <c r="AA52" s="14"/>
      <c r="AB52" s="14"/>
      <c r="AC52" s="14"/>
      <c r="AD52" s="14"/>
    </row>
    <row r="53" spans="2:30" x14ac:dyDescent="0.15">
      <c r="B53" s="9" t="s">
        <v>53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8"/>
      <c r="T53" s="10"/>
      <c r="U53" s="10"/>
      <c r="V53" s="10"/>
      <c r="W53" s="10"/>
      <c r="X53" s="10"/>
      <c r="Y53" s="10"/>
      <c r="Z53" s="10"/>
      <c r="AA53" s="14"/>
      <c r="AB53" s="14"/>
      <c r="AC53" s="14"/>
      <c r="AD53" s="14"/>
    </row>
    <row r="54" spans="2:30" x14ac:dyDescent="0.15">
      <c r="B54" s="12" t="s">
        <v>52</v>
      </c>
      <c r="F54" s="15">
        <v>-1307</v>
      </c>
      <c r="G54" s="15">
        <v>-1641</v>
      </c>
      <c r="H54" s="15">
        <v>-2094</v>
      </c>
      <c r="I54" s="15">
        <v>-2578</v>
      </c>
      <c r="J54" s="15">
        <v>-3768</v>
      </c>
      <c r="K54" s="15">
        <v>-2169</v>
      </c>
      <c r="L54" s="15">
        <v>-4340</v>
      </c>
      <c r="M54" s="15">
        <v>-6524</v>
      </c>
      <c r="N54" s="15">
        <v>-9095</v>
      </c>
      <c r="O54" s="15">
        <v>-2317</v>
      </c>
      <c r="P54" s="15">
        <v>-7833</v>
      </c>
      <c r="Q54" s="15">
        <v>-5891</v>
      </c>
      <c r="R54" s="15">
        <v>-8152</v>
      </c>
      <c r="S54" s="18"/>
      <c r="T54" s="15">
        <v>3167</v>
      </c>
      <c r="U54" s="15">
        <v>-3057</v>
      </c>
      <c r="V54" s="15">
        <v>-1431</v>
      </c>
      <c r="W54" s="15">
        <v>-4570</v>
      </c>
      <c r="X54" s="15">
        <v>1638</v>
      </c>
      <c r="Y54" s="15">
        <v>-2839</v>
      </c>
      <c r="Z54" s="15">
        <v>-2381</v>
      </c>
      <c r="AA54" s="14"/>
      <c r="AB54" s="14"/>
      <c r="AC54" s="14"/>
      <c r="AD54" s="14"/>
    </row>
    <row r="55" spans="2:30" x14ac:dyDescent="0.15">
      <c r="B55" s="12" t="s">
        <v>51</v>
      </c>
      <c r="F55" s="15">
        <v>588</v>
      </c>
      <c r="G55" s="15">
        <v>591</v>
      </c>
      <c r="H55" s="15">
        <v>-179</v>
      </c>
      <c r="I55" s="15">
        <v>3125</v>
      </c>
      <c r="J55" s="15">
        <v>8211</v>
      </c>
      <c r="K55" s="15">
        <v>-2251</v>
      </c>
      <c r="L55" s="15">
        <v>-3128</v>
      </c>
      <c r="M55" s="15">
        <v>1209</v>
      </c>
      <c r="N55" s="15">
        <v>-625</v>
      </c>
      <c r="O55" s="15">
        <v>584</v>
      </c>
      <c r="P55" s="15">
        <v>523</v>
      </c>
      <c r="Q55" s="15">
        <v>-2418</v>
      </c>
      <c r="R55" s="15">
        <v>-2913</v>
      </c>
      <c r="S55" s="18"/>
      <c r="T55" s="15">
        <v>3011</v>
      </c>
      <c r="U55" s="15">
        <v>-3900</v>
      </c>
      <c r="V55" s="15">
        <v>-1908</v>
      </c>
      <c r="W55" s="15">
        <v>379</v>
      </c>
      <c r="X55" s="15">
        <v>7197</v>
      </c>
      <c r="Y55" s="15">
        <v>-9631</v>
      </c>
      <c r="Z55" s="15">
        <v>-858</v>
      </c>
      <c r="AA55" s="14"/>
      <c r="AB55" s="14"/>
      <c r="AC55" s="14"/>
      <c r="AD55" s="14"/>
    </row>
    <row r="56" spans="2:30" x14ac:dyDescent="0.15">
      <c r="B56" s="12" t="s">
        <v>50</v>
      </c>
      <c r="F56" s="15">
        <v>-930</v>
      </c>
      <c r="G56" s="15">
        <v>459</v>
      </c>
      <c r="H56" s="15">
        <v>-318</v>
      </c>
      <c r="I56" s="15">
        <v>312</v>
      </c>
      <c r="J56" s="15">
        <v>-2164</v>
      </c>
      <c r="K56" s="15">
        <v>-1207</v>
      </c>
      <c r="L56" s="15">
        <v>-621</v>
      </c>
      <c r="M56" s="15">
        <v>-1330</v>
      </c>
      <c r="N56" s="15">
        <v>-1846</v>
      </c>
      <c r="O56" s="15">
        <v>-5046</v>
      </c>
      <c r="P56" s="15">
        <v>-2143</v>
      </c>
      <c r="Q56" s="15">
        <v>-1397</v>
      </c>
      <c r="R56" s="15">
        <v>-3123</v>
      </c>
      <c r="S56" s="18"/>
      <c r="T56" s="15">
        <v>-1000</v>
      </c>
      <c r="U56" s="15">
        <v>-532</v>
      </c>
      <c r="V56" s="15">
        <v>-802</v>
      </c>
      <c r="W56" s="15">
        <v>937</v>
      </c>
      <c r="X56" s="15">
        <v>-1288</v>
      </c>
      <c r="Y56" s="15">
        <v>-1479</v>
      </c>
      <c r="Z56" s="15">
        <v>-1293</v>
      </c>
      <c r="AA56" s="14"/>
      <c r="AB56" s="14"/>
      <c r="AC56" s="14"/>
      <c r="AD56" s="14"/>
    </row>
    <row r="57" spans="2:30" x14ac:dyDescent="0.15">
      <c r="B57" s="12" t="s">
        <v>49</v>
      </c>
      <c r="F57" s="15">
        <v>605</v>
      </c>
      <c r="G57" s="15">
        <v>436</v>
      </c>
      <c r="H57" s="15">
        <v>203</v>
      </c>
      <c r="I57" s="15">
        <v>110</v>
      </c>
      <c r="J57" s="15">
        <v>731</v>
      </c>
      <c r="K57" s="15">
        <v>1067</v>
      </c>
      <c r="L57" s="15">
        <v>428</v>
      </c>
      <c r="M57" s="15">
        <v>694</v>
      </c>
      <c r="N57" s="15">
        <v>283</v>
      </c>
      <c r="O57" s="15">
        <v>707</v>
      </c>
      <c r="P57" s="15">
        <v>664</v>
      </c>
      <c r="Q57" s="15">
        <v>359</v>
      </c>
      <c r="R57" s="15">
        <v>-370</v>
      </c>
      <c r="S57" s="18"/>
      <c r="T57" s="15">
        <v>-2124</v>
      </c>
      <c r="U57" s="15">
        <v>1561</v>
      </c>
      <c r="V57" s="15">
        <v>521</v>
      </c>
      <c r="W57" s="15">
        <v>401</v>
      </c>
      <c r="X57" s="15">
        <v>-880</v>
      </c>
      <c r="Y57" s="15">
        <v>553</v>
      </c>
      <c r="Z57" s="15">
        <v>-444</v>
      </c>
      <c r="AA57" s="14"/>
      <c r="AB57" s="14"/>
      <c r="AC57" s="14"/>
      <c r="AD57" s="14"/>
    </row>
    <row r="58" spans="2:30" x14ac:dyDescent="0.15">
      <c r="B58" s="12" t="s">
        <v>48</v>
      </c>
      <c r="F58" s="15">
        <v>713</v>
      </c>
      <c r="G58" s="15">
        <v>757</v>
      </c>
      <c r="H58" s="15">
        <v>1597</v>
      </c>
      <c r="I58" s="15">
        <v>1515</v>
      </c>
      <c r="J58" s="15">
        <v>4891</v>
      </c>
      <c r="K58" s="15">
        <v>8614</v>
      </c>
      <c r="L58" s="15">
        <v>7170</v>
      </c>
      <c r="M58" s="15">
        <v>5504</v>
      </c>
      <c r="N58" s="15">
        <v>7304</v>
      </c>
      <c r="O58" s="15">
        <v>3915</v>
      </c>
      <c r="P58" s="15">
        <v>3937</v>
      </c>
      <c r="Q58" s="15">
        <v>-1161</v>
      </c>
      <c r="R58" s="15">
        <v>11404</v>
      </c>
      <c r="S58" s="18"/>
      <c r="T58" s="15">
        <v>-5054</v>
      </c>
      <c r="U58" s="15">
        <v>-122</v>
      </c>
      <c r="V58" s="15">
        <v>-1190</v>
      </c>
      <c r="W58" s="15">
        <v>5205</v>
      </c>
      <c r="X58" s="15">
        <v>-5045</v>
      </c>
      <c r="Y58" s="15">
        <v>3485</v>
      </c>
      <c r="Z58" s="15">
        <v>7759</v>
      </c>
      <c r="AA58" s="14"/>
      <c r="AB58" s="14"/>
      <c r="AC58" s="14"/>
      <c r="AD58" s="14"/>
    </row>
    <row r="59" spans="2:30" x14ac:dyDescent="0.15">
      <c r="B59" s="12" t="s">
        <v>47</v>
      </c>
      <c r="F59" s="15">
        <v>254</v>
      </c>
      <c r="G59" s="15">
        <v>245</v>
      </c>
      <c r="H59" s="15">
        <v>339</v>
      </c>
      <c r="I59" s="15">
        <v>593</v>
      </c>
      <c r="J59" s="15">
        <v>955</v>
      </c>
      <c r="K59" s="15">
        <v>483</v>
      </c>
      <c r="L59" s="15">
        <v>1273</v>
      </c>
      <c r="M59" s="15">
        <v>1639</v>
      </c>
      <c r="N59" s="15">
        <v>1682</v>
      </c>
      <c r="O59" s="15">
        <v>-445</v>
      </c>
      <c r="P59" s="15">
        <v>482</v>
      </c>
      <c r="Q59" s="15">
        <v>1059</v>
      </c>
      <c r="R59" s="15">
        <v>681</v>
      </c>
      <c r="S59" s="18"/>
      <c r="T59" s="15">
        <v>-322</v>
      </c>
      <c r="U59" s="15">
        <v>419</v>
      </c>
      <c r="V59" s="15">
        <v>381</v>
      </c>
      <c r="W59" s="15">
        <v>581</v>
      </c>
      <c r="X59" s="15">
        <v>116</v>
      </c>
      <c r="Y59" s="15">
        <v>-335</v>
      </c>
      <c r="Z59" s="15">
        <v>319</v>
      </c>
    </row>
    <row r="60" spans="2:30" x14ac:dyDescent="0.15">
      <c r="B60" s="21" t="s">
        <v>46</v>
      </c>
      <c r="C60" s="22"/>
      <c r="D60" s="22"/>
      <c r="E60" s="22"/>
      <c r="F60" s="23">
        <v>233</v>
      </c>
      <c r="G60" s="23">
        <v>-175</v>
      </c>
      <c r="H60" s="23">
        <v>43</v>
      </c>
      <c r="I60" s="23">
        <v>223</v>
      </c>
      <c r="J60" s="23">
        <v>390</v>
      </c>
      <c r="K60" s="23">
        <v>371</v>
      </c>
      <c r="L60" s="23">
        <v>37</v>
      </c>
      <c r="M60" s="23">
        <v>635</v>
      </c>
      <c r="N60" s="23">
        <v>774</v>
      </c>
      <c r="O60" s="23">
        <v>367</v>
      </c>
      <c r="P60" s="23">
        <v>525</v>
      </c>
      <c r="Q60" s="23">
        <v>1043</v>
      </c>
      <c r="R60" s="23">
        <v>1500</v>
      </c>
      <c r="S60" s="18"/>
      <c r="T60" s="23">
        <v>-141</v>
      </c>
      <c r="U60" s="23">
        <v>361</v>
      </c>
      <c r="V60" s="23">
        <v>640</v>
      </c>
      <c r="W60" s="23">
        <v>183</v>
      </c>
      <c r="X60" s="23">
        <v>500</v>
      </c>
      <c r="Y60" s="23">
        <v>136</v>
      </c>
      <c r="Z60" s="23">
        <v>681</v>
      </c>
    </row>
    <row r="61" spans="2:30" x14ac:dyDescent="0.15">
      <c r="B61" s="9" t="s">
        <v>45</v>
      </c>
      <c r="F61" s="16">
        <f>SUM(F42:F60)</f>
        <v>18659</v>
      </c>
      <c r="G61" s="16">
        <f t="shared" ref="G61:R61" si="21">SUM(G42:G60)</f>
        <v>22376</v>
      </c>
      <c r="H61" s="16">
        <f t="shared" si="21"/>
        <v>26024</v>
      </c>
      <c r="I61" s="16">
        <f t="shared" si="21"/>
        <v>36036</v>
      </c>
      <c r="J61" s="16">
        <f t="shared" si="21"/>
        <v>37091</v>
      </c>
      <c r="K61" s="16">
        <f t="shared" si="21"/>
        <v>47971</v>
      </c>
      <c r="L61" s="16">
        <f t="shared" si="21"/>
        <v>54520</v>
      </c>
      <c r="M61" s="16">
        <f t="shared" si="21"/>
        <v>65124</v>
      </c>
      <c r="N61" s="16">
        <f t="shared" si="21"/>
        <v>91652</v>
      </c>
      <c r="O61" s="16">
        <f t="shared" si="21"/>
        <v>91495</v>
      </c>
      <c r="P61" s="16">
        <f t="shared" si="21"/>
        <v>101746</v>
      </c>
      <c r="Q61" s="16">
        <f t="shared" si="21"/>
        <v>125299</v>
      </c>
      <c r="R61" s="16">
        <f t="shared" si="21"/>
        <v>151424</v>
      </c>
      <c r="S61" s="18"/>
      <c r="T61" s="16">
        <f t="shared" ref="T61" si="22">SUM(T42:T60)</f>
        <v>28848</v>
      </c>
      <c r="U61" s="16">
        <f t="shared" ref="U61" si="23">SUM(U42:U60)</f>
        <v>26640</v>
      </c>
      <c r="V61" s="16">
        <f t="shared" ref="V61" si="24">SUM(V42:V60)</f>
        <v>30698</v>
      </c>
      <c r="W61" s="16">
        <f t="shared" ref="W61" si="25">SUM(W42:W60)</f>
        <v>39113</v>
      </c>
      <c r="X61" s="16">
        <f t="shared" ref="X61" si="26">SUM(X42:X60)</f>
        <v>36150</v>
      </c>
      <c r="Y61" s="16">
        <f t="shared" ref="Y61" si="27">SUM(Y42:Y60)</f>
        <v>27747</v>
      </c>
      <c r="Z61" s="16">
        <f t="shared" ref="Z61" si="28">SUM(Z42:Z60)</f>
        <v>48414</v>
      </c>
      <c r="AA61" s="14"/>
      <c r="AB61" s="14"/>
      <c r="AC61" s="14"/>
      <c r="AD61" s="14"/>
    </row>
    <row r="62" spans="2:30" x14ac:dyDescent="0.15">
      <c r="B62" s="9" t="s">
        <v>44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8"/>
      <c r="T62" s="10"/>
      <c r="U62" s="10"/>
      <c r="V62" s="10"/>
      <c r="W62" s="10"/>
      <c r="X62" s="10"/>
      <c r="Y62" s="10"/>
      <c r="Z62" s="10"/>
    </row>
    <row r="63" spans="2:30" x14ac:dyDescent="0.15">
      <c r="B63" s="12" t="s">
        <v>43</v>
      </c>
      <c r="F63" s="15">
        <v>-7358</v>
      </c>
      <c r="G63" s="15">
        <v>-10959</v>
      </c>
      <c r="H63" s="15">
        <v>-9915</v>
      </c>
      <c r="I63" s="15">
        <v>-10212</v>
      </c>
      <c r="J63" s="15">
        <v>-13184</v>
      </c>
      <c r="K63" s="15">
        <v>-25139</v>
      </c>
      <c r="L63" s="15">
        <v>-23548</v>
      </c>
      <c r="M63" s="15">
        <v>-22281</v>
      </c>
      <c r="N63" s="15">
        <v>-24640</v>
      </c>
      <c r="O63" s="15">
        <v>-31485</v>
      </c>
      <c r="P63" s="15">
        <v>-32251</v>
      </c>
      <c r="Q63" s="15">
        <v>-52535</v>
      </c>
      <c r="R63" s="15">
        <v>-77872</v>
      </c>
      <c r="S63" s="18"/>
      <c r="T63" s="15">
        <v>-12012</v>
      </c>
      <c r="U63" s="15">
        <v>-13186</v>
      </c>
      <c r="V63" s="15">
        <v>-13061</v>
      </c>
      <c r="W63" s="15">
        <v>-14276</v>
      </c>
      <c r="X63" s="15">
        <v>-17197</v>
      </c>
      <c r="Y63" s="15">
        <v>-22446</v>
      </c>
      <c r="Z63" s="15">
        <v>-23953</v>
      </c>
      <c r="AA63" s="14"/>
      <c r="AB63" s="14"/>
      <c r="AC63" s="14"/>
      <c r="AD63" s="14"/>
    </row>
    <row r="64" spans="2:30" x14ac:dyDescent="0.15">
      <c r="B64" s="12" t="s">
        <v>42</v>
      </c>
      <c r="F64" s="11">
        <v>0</v>
      </c>
      <c r="G64" s="11">
        <v>0</v>
      </c>
      <c r="H64" s="11">
        <v>0</v>
      </c>
      <c r="I64" s="11">
        <v>240</v>
      </c>
      <c r="J64" s="11">
        <v>99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8"/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4"/>
      <c r="AB64" s="14"/>
      <c r="AC64" s="14"/>
      <c r="AD64" s="14"/>
    </row>
    <row r="65" spans="2:30" x14ac:dyDescent="0.15">
      <c r="B65" s="12" t="s">
        <v>41</v>
      </c>
      <c r="F65" s="15">
        <v>-45444</v>
      </c>
      <c r="G65" s="15">
        <v>-56310</v>
      </c>
      <c r="H65" s="15">
        <v>-74368</v>
      </c>
      <c r="I65" s="15">
        <v>-84509</v>
      </c>
      <c r="J65" s="15">
        <v>-92195</v>
      </c>
      <c r="K65" s="15">
        <v>-50158</v>
      </c>
      <c r="L65" s="15">
        <v>-100315</v>
      </c>
      <c r="M65" s="15">
        <v>-136576</v>
      </c>
      <c r="N65" s="15">
        <v>-135196</v>
      </c>
      <c r="O65" s="15">
        <v>-78874</v>
      </c>
      <c r="P65" s="15">
        <v>-77858</v>
      </c>
      <c r="Q65" s="15">
        <v>-86679</v>
      </c>
      <c r="R65" s="15">
        <v>-82479</v>
      </c>
      <c r="S65" s="18"/>
      <c r="T65" s="15">
        <v>-20684</v>
      </c>
      <c r="U65" s="15">
        <v>-22327</v>
      </c>
      <c r="V65" s="15">
        <v>-22023</v>
      </c>
      <c r="W65" s="15">
        <v>-21645</v>
      </c>
      <c r="X65" s="15">
        <v>-18453</v>
      </c>
      <c r="Y65" s="15">
        <v>-21417</v>
      </c>
      <c r="Z65" s="15">
        <v>-20964</v>
      </c>
      <c r="AA65" s="14"/>
      <c r="AB65" s="14"/>
      <c r="AC65" s="14"/>
      <c r="AD65" s="14"/>
    </row>
    <row r="66" spans="2:30" x14ac:dyDescent="0.15">
      <c r="B66" s="12" t="s">
        <v>40</v>
      </c>
      <c r="F66" s="15">
        <v>38314</v>
      </c>
      <c r="G66" s="15">
        <v>51315</v>
      </c>
      <c r="H66" s="15">
        <v>62905</v>
      </c>
      <c r="I66" s="15">
        <v>66895</v>
      </c>
      <c r="J66" s="15">
        <v>73959</v>
      </c>
      <c r="K66" s="15">
        <v>48507</v>
      </c>
      <c r="L66" s="15">
        <v>97825</v>
      </c>
      <c r="M66" s="15">
        <v>132906</v>
      </c>
      <c r="N66" s="15">
        <v>128294</v>
      </c>
      <c r="O66" s="15">
        <v>97822</v>
      </c>
      <c r="P66" s="15">
        <v>86672</v>
      </c>
      <c r="Q66" s="15">
        <v>103428</v>
      </c>
      <c r="R66" s="15">
        <v>82950</v>
      </c>
      <c r="S66" s="18"/>
      <c r="T66" s="15">
        <v>24985</v>
      </c>
      <c r="U66" s="15">
        <v>33592</v>
      </c>
      <c r="V66" s="15">
        <v>23202</v>
      </c>
      <c r="W66" s="15">
        <v>21649</v>
      </c>
      <c r="X66" s="15">
        <v>20345</v>
      </c>
      <c r="Y66" s="15">
        <v>20585</v>
      </c>
      <c r="Z66" s="15">
        <v>20371</v>
      </c>
      <c r="AA66" s="14"/>
      <c r="AB66" s="14"/>
      <c r="AC66" s="14"/>
      <c r="AD66" s="14"/>
    </row>
    <row r="67" spans="2:30" x14ac:dyDescent="0.15">
      <c r="B67" s="12" t="s">
        <v>39</v>
      </c>
      <c r="F67" s="15">
        <v>-569</v>
      </c>
      <c r="G67" s="15">
        <v>-1227</v>
      </c>
      <c r="H67" s="15">
        <v>-2172</v>
      </c>
      <c r="I67" s="15">
        <v>-1109</v>
      </c>
      <c r="J67" s="15">
        <v>-1745</v>
      </c>
      <c r="K67" s="15">
        <v>-2073</v>
      </c>
      <c r="L67" s="15">
        <v>-1932</v>
      </c>
      <c r="M67" s="15">
        <v>-7175</v>
      </c>
      <c r="N67" s="15">
        <v>-2838</v>
      </c>
      <c r="O67" s="15">
        <v>-2531</v>
      </c>
      <c r="P67" s="15">
        <v>-3027</v>
      </c>
      <c r="Q67" s="15">
        <v>-5034</v>
      </c>
      <c r="R67" s="15">
        <v>-5112</v>
      </c>
      <c r="S67" s="18"/>
      <c r="T67" s="15">
        <v>-1206</v>
      </c>
      <c r="U67" s="15">
        <v>-993</v>
      </c>
      <c r="V67" s="15">
        <v>-1035</v>
      </c>
      <c r="W67" s="15">
        <v>-1800</v>
      </c>
      <c r="X67" s="15">
        <v>-958</v>
      </c>
      <c r="Y67" s="15">
        <v>-1354</v>
      </c>
      <c r="Z67" s="15">
        <v>-1000</v>
      </c>
    </row>
    <row r="68" spans="2:30" x14ac:dyDescent="0.15">
      <c r="B68" s="12" t="s">
        <v>38</v>
      </c>
      <c r="F68" s="11"/>
      <c r="G68" s="11"/>
      <c r="H68" s="11"/>
      <c r="I68" s="11">
        <v>494</v>
      </c>
      <c r="J68" s="11">
        <v>533</v>
      </c>
      <c r="K68" s="11">
        <v>1752</v>
      </c>
      <c r="L68" s="11">
        <v>405</v>
      </c>
      <c r="M68" s="11">
        <v>1023</v>
      </c>
      <c r="N68" s="11">
        <v>934</v>
      </c>
      <c r="O68" s="11">
        <v>150</v>
      </c>
      <c r="P68" s="11">
        <v>947</v>
      </c>
      <c r="Q68" s="11">
        <v>882</v>
      </c>
      <c r="R68" s="11">
        <v>1346</v>
      </c>
      <c r="S68" s="18"/>
      <c r="T68" s="11">
        <v>313</v>
      </c>
      <c r="U68" s="11">
        <v>292</v>
      </c>
      <c r="V68" s="11">
        <v>127</v>
      </c>
      <c r="W68" s="11">
        <v>150</v>
      </c>
      <c r="X68" s="11">
        <v>259</v>
      </c>
      <c r="Y68" s="11">
        <v>614</v>
      </c>
      <c r="Z68" s="11">
        <v>323</v>
      </c>
    </row>
    <row r="69" spans="2:30" x14ac:dyDescent="0.15">
      <c r="B69" s="12" t="s">
        <v>37</v>
      </c>
      <c r="F69" s="15">
        <v>-299</v>
      </c>
      <c r="G69" s="15">
        <v>1403</v>
      </c>
      <c r="H69" s="15">
        <v>-350</v>
      </c>
      <c r="I69" s="15">
        <v>-2428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8"/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</row>
    <row r="70" spans="2:30" x14ac:dyDescent="0.15">
      <c r="B70" s="12" t="s">
        <v>36</v>
      </c>
      <c r="F70" s="15">
        <v>600</v>
      </c>
      <c r="G70" s="15">
        <v>-775</v>
      </c>
      <c r="H70" s="15">
        <v>425</v>
      </c>
      <c r="I70" s="15">
        <v>450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8"/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4"/>
      <c r="AB70" s="14"/>
      <c r="AC70" s="14"/>
      <c r="AD70" s="14"/>
    </row>
    <row r="71" spans="2:30" x14ac:dyDescent="0.15">
      <c r="B71" s="12" t="s">
        <v>35</v>
      </c>
      <c r="F71" s="15">
        <v>2525</v>
      </c>
      <c r="G71" s="15">
        <v>386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8"/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</row>
    <row r="72" spans="2:30" x14ac:dyDescent="0.15">
      <c r="B72" s="12" t="s">
        <v>34</v>
      </c>
      <c r="F72" s="15">
        <v>-1448</v>
      </c>
      <c r="G72" s="15">
        <v>-4888</v>
      </c>
      <c r="H72" s="15">
        <v>-236</v>
      </c>
      <c r="I72" s="15">
        <v>-986</v>
      </c>
      <c r="J72" s="15">
        <v>-287</v>
      </c>
      <c r="K72" s="15">
        <v>-1491</v>
      </c>
      <c r="L72" s="15">
        <v>-2515</v>
      </c>
      <c r="M72" s="15">
        <v>-738</v>
      </c>
      <c r="N72" s="15">
        <v>-2618</v>
      </c>
      <c r="O72" s="15">
        <v>-6969</v>
      </c>
      <c r="P72" s="15">
        <v>-495</v>
      </c>
      <c r="Q72" s="15">
        <v>-2931</v>
      </c>
      <c r="R72" s="15">
        <v>-1516</v>
      </c>
      <c r="S72" s="18"/>
      <c r="T72" s="15">
        <v>-61</v>
      </c>
      <c r="U72" s="15">
        <v>-26</v>
      </c>
      <c r="V72" s="15">
        <v>-2753</v>
      </c>
      <c r="W72" s="15">
        <v>-91</v>
      </c>
      <c r="X72" s="15">
        <v>-340</v>
      </c>
      <c r="Y72" s="15">
        <v>-13</v>
      </c>
      <c r="Z72" s="15">
        <v>-1072</v>
      </c>
      <c r="AA72" s="14"/>
      <c r="AB72" s="14"/>
      <c r="AC72" s="14"/>
      <c r="AD72" s="14"/>
    </row>
    <row r="73" spans="2:30" x14ac:dyDescent="0.15">
      <c r="B73" s="12" t="s">
        <v>33</v>
      </c>
      <c r="F73" s="11">
        <v>0</v>
      </c>
      <c r="G73" s="11">
        <v>0</v>
      </c>
      <c r="H73" s="11">
        <v>0</v>
      </c>
      <c r="I73" s="11">
        <v>0</v>
      </c>
      <c r="J73" s="11">
        <v>1419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8"/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/>
    </row>
    <row r="74" spans="2:30" x14ac:dyDescent="0.15">
      <c r="B74" s="21" t="s">
        <v>32</v>
      </c>
      <c r="C74" s="22"/>
      <c r="D74" s="22"/>
      <c r="E74" s="22"/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98</v>
      </c>
      <c r="L74" s="29">
        <v>589</v>
      </c>
      <c r="M74" s="29">
        <v>68</v>
      </c>
      <c r="N74" s="29">
        <v>541</v>
      </c>
      <c r="O74" s="29">
        <v>1589</v>
      </c>
      <c r="P74" s="29">
        <v>-1051</v>
      </c>
      <c r="Q74" s="29">
        <v>-2667</v>
      </c>
      <c r="R74" s="29">
        <v>-2012</v>
      </c>
      <c r="S74" s="18"/>
      <c r="T74" s="29">
        <v>101</v>
      </c>
      <c r="U74" s="29">
        <v>-133</v>
      </c>
      <c r="V74" s="29">
        <v>-2468</v>
      </c>
      <c r="W74" s="29">
        <v>-167</v>
      </c>
      <c r="X74" s="29">
        <v>150</v>
      </c>
      <c r="Y74" s="29">
        <v>-513</v>
      </c>
      <c r="Z74" s="29">
        <v>-1482</v>
      </c>
    </row>
    <row r="75" spans="2:30" x14ac:dyDescent="0.15">
      <c r="B75" s="9" t="s">
        <v>31</v>
      </c>
      <c r="F75" s="16">
        <f>SUM(F63:F74)</f>
        <v>-13679</v>
      </c>
      <c r="G75" s="16">
        <f t="shared" ref="G75:R75" si="29">SUM(G63:G74)</f>
        <v>-21055</v>
      </c>
      <c r="H75" s="16">
        <f t="shared" si="29"/>
        <v>-23711</v>
      </c>
      <c r="I75" s="16">
        <f t="shared" si="29"/>
        <v>-31165</v>
      </c>
      <c r="J75" s="16">
        <f t="shared" si="29"/>
        <v>-31401</v>
      </c>
      <c r="K75" s="16">
        <f t="shared" si="29"/>
        <v>-28504</v>
      </c>
      <c r="L75" s="16">
        <f t="shared" si="29"/>
        <v>-29491</v>
      </c>
      <c r="M75" s="16">
        <f t="shared" si="29"/>
        <v>-32773</v>
      </c>
      <c r="N75" s="16">
        <f t="shared" si="29"/>
        <v>-35523</v>
      </c>
      <c r="O75" s="16">
        <f t="shared" si="29"/>
        <v>-20298</v>
      </c>
      <c r="P75" s="16">
        <f t="shared" si="29"/>
        <v>-27063</v>
      </c>
      <c r="Q75" s="16">
        <f t="shared" si="29"/>
        <v>-45536</v>
      </c>
      <c r="R75" s="16">
        <f t="shared" si="29"/>
        <v>-84695</v>
      </c>
      <c r="S75" s="18"/>
      <c r="T75" s="16">
        <f t="shared" ref="T75:Z75" si="30">SUM(T63:T74)</f>
        <v>-8564</v>
      </c>
      <c r="U75" s="16">
        <f t="shared" si="30"/>
        <v>-2781</v>
      </c>
      <c r="V75" s="16">
        <f t="shared" si="30"/>
        <v>-18011</v>
      </c>
      <c r="W75" s="16">
        <f t="shared" si="30"/>
        <v>-16180</v>
      </c>
      <c r="X75" s="16">
        <f t="shared" si="30"/>
        <v>-16194</v>
      </c>
      <c r="Y75" s="16">
        <f t="shared" si="30"/>
        <v>-24544</v>
      </c>
      <c r="Z75" s="16">
        <f t="shared" si="30"/>
        <v>-27777</v>
      </c>
      <c r="AA75" s="14"/>
      <c r="AB75" s="14"/>
      <c r="AC75" s="14"/>
      <c r="AD75" s="14"/>
    </row>
    <row r="76" spans="2:30" x14ac:dyDescent="0.15">
      <c r="B76" s="9" t="s">
        <v>30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8"/>
      <c r="T76" s="10"/>
      <c r="U76" s="10"/>
      <c r="V76" s="10"/>
      <c r="W76" s="10"/>
      <c r="X76" s="10"/>
      <c r="Y76" s="10"/>
      <c r="Z76" s="10"/>
    </row>
    <row r="77" spans="2:30" x14ac:dyDescent="0.15">
      <c r="B77" s="12" t="s">
        <v>29</v>
      </c>
      <c r="F77" s="15">
        <v>-781</v>
      </c>
      <c r="G77" s="15">
        <v>-2069</v>
      </c>
      <c r="H77" s="15">
        <v>-1612</v>
      </c>
      <c r="I77" s="15">
        <v>-3304</v>
      </c>
      <c r="J77" s="15">
        <v>-4166</v>
      </c>
      <c r="K77" s="15">
        <v>-4993</v>
      </c>
      <c r="L77" s="15">
        <v>-4765</v>
      </c>
      <c r="M77" s="15">
        <v>-5720</v>
      </c>
      <c r="N77" s="15">
        <v>-10162</v>
      </c>
      <c r="O77" s="15">
        <v>-9300</v>
      </c>
      <c r="P77" s="15">
        <v>-9837</v>
      </c>
      <c r="Q77" s="15">
        <v>-12190</v>
      </c>
      <c r="R77" s="15">
        <v>-12050</v>
      </c>
      <c r="S77" s="18"/>
      <c r="T77" s="15">
        <v>-2929</v>
      </c>
      <c r="U77" s="15">
        <v>-3209</v>
      </c>
      <c r="V77" s="15">
        <v>-3003</v>
      </c>
      <c r="W77" s="15">
        <v>-3049</v>
      </c>
      <c r="X77" s="15">
        <v>-3110</v>
      </c>
      <c r="Y77" s="15">
        <v>-2621</v>
      </c>
      <c r="Z77" s="15">
        <v>-3270</v>
      </c>
    </row>
    <row r="78" spans="2:30" x14ac:dyDescent="0.15">
      <c r="B78" s="12" t="s">
        <v>28</v>
      </c>
      <c r="F78" s="15">
        <v>481</v>
      </c>
      <c r="G78" s="15">
        <v>648</v>
      </c>
      <c r="H78" s="15">
        <v>548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8"/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</row>
    <row r="79" spans="2:30" x14ac:dyDescent="0.15">
      <c r="B79" s="12" t="s">
        <v>27</v>
      </c>
      <c r="F79" s="15">
        <v>0</v>
      </c>
      <c r="G79" s="15">
        <v>0</v>
      </c>
      <c r="H79" s="15">
        <v>-47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8"/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4"/>
      <c r="AB79" s="14"/>
      <c r="AC79" s="14"/>
      <c r="AD79" s="14"/>
    </row>
    <row r="80" spans="2:30" x14ac:dyDescent="0.15">
      <c r="B80" s="12" t="s">
        <v>26</v>
      </c>
      <c r="F80" s="15">
        <v>0</v>
      </c>
      <c r="G80" s="15">
        <v>0</v>
      </c>
      <c r="H80" s="15">
        <v>-2543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8"/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4"/>
      <c r="AB80" s="14"/>
      <c r="AC80" s="14"/>
      <c r="AD80" s="14"/>
    </row>
    <row r="81" spans="2:30" x14ac:dyDescent="0.15">
      <c r="B81" s="12" t="s">
        <v>25</v>
      </c>
      <c r="F81" s="15">
        <v>0</v>
      </c>
      <c r="G81" s="15">
        <v>0</v>
      </c>
      <c r="H81" s="15">
        <v>0</v>
      </c>
      <c r="I81" s="15">
        <v>-3693</v>
      </c>
      <c r="J81" s="15">
        <v>-4846</v>
      </c>
      <c r="K81" s="15">
        <v>-9075</v>
      </c>
      <c r="L81" s="15">
        <v>-18396</v>
      </c>
      <c r="M81" s="15">
        <v>-31149</v>
      </c>
      <c r="N81" s="15">
        <v>-50274</v>
      </c>
      <c r="O81" s="15">
        <v>-59296</v>
      </c>
      <c r="P81" s="15">
        <v>-61504</v>
      </c>
      <c r="Q81" s="15">
        <v>-62222</v>
      </c>
      <c r="R81" s="15">
        <v>-55761</v>
      </c>
      <c r="S81" s="18"/>
      <c r="T81" s="15">
        <v>-15696</v>
      </c>
      <c r="U81" s="15">
        <v>-15684</v>
      </c>
      <c r="V81" s="15">
        <v>-15291</v>
      </c>
      <c r="W81" s="15">
        <v>-15551</v>
      </c>
      <c r="X81" s="15">
        <v>-15068</v>
      </c>
      <c r="Y81" s="15">
        <v>-13638</v>
      </c>
      <c r="Z81" s="15">
        <v>-11504</v>
      </c>
      <c r="AA81" s="14"/>
      <c r="AB81" s="14"/>
      <c r="AC81" s="14"/>
      <c r="AD81" s="14"/>
    </row>
    <row r="82" spans="2:30" x14ac:dyDescent="0.15">
      <c r="B82" s="12" t="s">
        <v>24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-7363</v>
      </c>
      <c r="R82" s="11">
        <v>-9955</v>
      </c>
      <c r="S82" s="18"/>
      <c r="T82" s="11">
        <v>0</v>
      </c>
      <c r="U82" s="11">
        <v>-2466</v>
      </c>
      <c r="V82" s="11">
        <v>-2455</v>
      </c>
      <c r="W82" s="11">
        <v>-2442</v>
      </c>
      <c r="X82" s="11">
        <v>-2434</v>
      </c>
      <c r="Y82" s="11">
        <v>-2543</v>
      </c>
      <c r="Z82" s="11">
        <v>-2536</v>
      </c>
      <c r="AA82" s="14"/>
      <c r="AB82" s="14"/>
      <c r="AC82" s="14"/>
      <c r="AD82" s="14"/>
    </row>
    <row r="83" spans="2:30" x14ac:dyDescent="0.15">
      <c r="B83" s="12" t="s">
        <v>23</v>
      </c>
      <c r="F83" s="15">
        <v>10768</v>
      </c>
      <c r="G83" s="15">
        <v>11625</v>
      </c>
      <c r="H83" s="15">
        <v>13705</v>
      </c>
      <c r="I83" s="15">
        <v>8729</v>
      </c>
      <c r="J83" s="15">
        <v>4291</v>
      </c>
      <c r="K83" s="15">
        <v>6766</v>
      </c>
      <c r="L83" s="15">
        <v>317</v>
      </c>
      <c r="M83" s="15">
        <v>11761</v>
      </c>
      <c r="N83" s="15">
        <v>20199</v>
      </c>
      <c r="O83" s="15">
        <v>52872</v>
      </c>
      <c r="P83" s="15">
        <v>10790</v>
      </c>
      <c r="Q83" s="15">
        <v>13589</v>
      </c>
      <c r="R83" s="15">
        <v>42897</v>
      </c>
      <c r="S83" s="18"/>
      <c r="T83" s="15">
        <v>1982</v>
      </c>
      <c r="U83" s="15">
        <v>2893</v>
      </c>
      <c r="V83" s="15">
        <v>3819</v>
      </c>
      <c r="W83" s="15">
        <v>4895</v>
      </c>
      <c r="X83" s="15">
        <v>4532</v>
      </c>
      <c r="Y83" s="15">
        <v>26846</v>
      </c>
      <c r="Z83" s="15">
        <v>6624</v>
      </c>
      <c r="AA83" s="14"/>
      <c r="AB83" s="14"/>
      <c r="AC83" s="14"/>
      <c r="AD83" s="14"/>
    </row>
    <row r="84" spans="2:30" x14ac:dyDescent="0.15">
      <c r="B84" s="12" t="s">
        <v>22</v>
      </c>
      <c r="F84" s="15">
        <v>-11325</v>
      </c>
      <c r="G84" s="15">
        <v>-11643</v>
      </c>
      <c r="H84" s="15">
        <v>-13728</v>
      </c>
      <c r="I84" s="15">
        <v>-10064</v>
      </c>
      <c r="J84" s="15">
        <v>-4377</v>
      </c>
      <c r="K84" s="15">
        <v>-6827</v>
      </c>
      <c r="L84" s="15">
        <v>-585</v>
      </c>
      <c r="M84" s="15">
        <v>-2100</v>
      </c>
      <c r="N84" s="15">
        <v>-21435</v>
      </c>
      <c r="O84" s="15">
        <v>-54068</v>
      </c>
      <c r="P84" s="15">
        <v>-11550</v>
      </c>
      <c r="Q84" s="15">
        <v>-12701</v>
      </c>
      <c r="R84" s="15">
        <v>-29844</v>
      </c>
      <c r="S84" s="18"/>
      <c r="T84" s="15">
        <v>-3079</v>
      </c>
      <c r="U84" s="15">
        <v>-2423</v>
      </c>
      <c r="V84" s="15">
        <v>-3449</v>
      </c>
      <c r="W84" s="15">
        <v>-3750</v>
      </c>
      <c r="X84" s="15">
        <v>-4521</v>
      </c>
      <c r="Y84" s="15">
        <v>-13876</v>
      </c>
      <c r="Z84" s="15">
        <v>-7697</v>
      </c>
    </row>
    <row r="85" spans="2:30" x14ac:dyDescent="0.15">
      <c r="B85" s="21" t="s">
        <v>21</v>
      </c>
      <c r="C85" s="22"/>
      <c r="D85" s="22"/>
      <c r="E85" s="22"/>
      <c r="F85" s="23">
        <v>0</v>
      </c>
      <c r="G85" s="23">
        <v>0</v>
      </c>
      <c r="H85" s="23">
        <v>0</v>
      </c>
      <c r="I85" s="23">
        <v>0</v>
      </c>
      <c r="J85" s="23">
        <v>800</v>
      </c>
      <c r="K85" s="23">
        <v>950</v>
      </c>
      <c r="L85" s="23">
        <v>220</v>
      </c>
      <c r="M85" s="23">
        <v>2800</v>
      </c>
      <c r="N85" s="23">
        <v>310</v>
      </c>
      <c r="O85" s="23">
        <v>35</v>
      </c>
      <c r="P85" s="23">
        <v>8</v>
      </c>
      <c r="Q85" s="23">
        <v>1154</v>
      </c>
      <c r="R85" s="23">
        <v>1261</v>
      </c>
      <c r="S85" s="18"/>
      <c r="T85" s="23">
        <v>8</v>
      </c>
      <c r="U85" s="23">
        <v>0</v>
      </c>
      <c r="V85" s="23">
        <v>285</v>
      </c>
      <c r="W85" s="23">
        <v>861</v>
      </c>
      <c r="X85" s="23">
        <v>400</v>
      </c>
      <c r="Y85" s="23">
        <v>0</v>
      </c>
      <c r="Z85" s="23">
        <v>0</v>
      </c>
      <c r="AA85" s="14"/>
      <c r="AB85" s="14"/>
      <c r="AC85" s="14"/>
      <c r="AD85" s="14"/>
    </row>
    <row r="86" spans="2:30" x14ac:dyDescent="0.15">
      <c r="B86" s="9" t="s">
        <v>20</v>
      </c>
      <c r="F86" s="16">
        <f>SUM(F77:F85)</f>
        <v>-857</v>
      </c>
      <c r="G86" s="16">
        <f t="shared" ref="G86:R86" si="31">SUM(G77:G85)</f>
        <v>-1439</v>
      </c>
      <c r="H86" s="16">
        <f t="shared" si="31"/>
        <v>-3677</v>
      </c>
      <c r="I86" s="16">
        <f t="shared" si="31"/>
        <v>-8332</v>
      </c>
      <c r="J86" s="16">
        <f t="shared" si="31"/>
        <v>-8298</v>
      </c>
      <c r="K86" s="16">
        <f t="shared" si="31"/>
        <v>-13179</v>
      </c>
      <c r="L86" s="16">
        <f t="shared" si="31"/>
        <v>-23209</v>
      </c>
      <c r="M86" s="16">
        <f t="shared" si="31"/>
        <v>-24408</v>
      </c>
      <c r="N86" s="16">
        <f t="shared" si="31"/>
        <v>-61362</v>
      </c>
      <c r="O86" s="16">
        <f t="shared" si="31"/>
        <v>-69757</v>
      </c>
      <c r="P86" s="16">
        <f t="shared" si="31"/>
        <v>-72093</v>
      </c>
      <c r="Q86" s="16">
        <f t="shared" si="31"/>
        <v>-79733</v>
      </c>
      <c r="R86" s="16">
        <f t="shared" si="31"/>
        <v>-63452</v>
      </c>
      <c r="S86" s="18"/>
      <c r="T86" s="16">
        <f t="shared" ref="T86:Z86" si="32">SUM(T77:T85)</f>
        <v>-19714</v>
      </c>
      <c r="U86" s="16">
        <f t="shared" si="32"/>
        <v>-20889</v>
      </c>
      <c r="V86" s="16">
        <f t="shared" si="32"/>
        <v>-20094</v>
      </c>
      <c r="W86" s="16">
        <f t="shared" si="32"/>
        <v>-19036</v>
      </c>
      <c r="X86" s="16">
        <f t="shared" si="32"/>
        <v>-20201</v>
      </c>
      <c r="Y86" s="16">
        <f t="shared" si="32"/>
        <v>-5832</v>
      </c>
      <c r="Z86" s="16">
        <f t="shared" si="32"/>
        <v>-18383</v>
      </c>
    </row>
    <row r="87" spans="2:30" x14ac:dyDescent="0.15">
      <c r="B87" s="12" t="s">
        <v>19</v>
      </c>
      <c r="F87" s="15">
        <v>-3</v>
      </c>
      <c r="G87" s="15">
        <v>-433</v>
      </c>
      <c r="H87" s="15">
        <v>-434</v>
      </c>
      <c r="I87" s="15">
        <v>-170</v>
      </c>
      <c r="J87" s="15">
        <v>405</v>
      </c>
      <c r="K87" s="15">
        <v>-302</v>
      </c>
      <c r="L87" s="15">
        <v>-23</v>
      </c>
      <c r="M87" s="15">
        <v>24</v>
      </c>
      <c r="N87" s="15">
        <v>-287</v>
      </c>
      <c r="O87" s="15">
        <v>-506</v>
      </c>
      <c r="P87" s="15">
        <v>-421</v>
      </c>
      <c r="Q87" s="15">
        <v>-612</v>
      </c>
      <c r="R87" s="15">
        <v>-146</v>
      </c>
      <c r="S87" s="18"/>
      <c r="T87" s="15">
        <v>-125</v>
      </c>
      <c r="U87" s="15">
        <v>-238</v>
      </c>
      <c r="V87" s="15">
        <v>141</v>
      </c>
      <c r="W87" s="15">
        <v>-390</v>
      </c>
      <c r="X87" s="15">
        <v>43</v>
      </c>
      <c r="Y87" s="15">
        <v>401</v>
      </c>
      <c r="Z87" s="15">
        <v>-200</v>
      </c>
    </row>
    <row r="88" spans="2:30" x14ac:dyDescent="0.15">
      <c r="B88" s="9" t="s">
        <v>18</v>
      </c>
      <c r="F88" s="16">
        <f>F61+F75+F86+F87</f>
        <v>4120</v>
      </c>
      <c r="G88" s="16">
        <f>G61+G75+G86+G87</f>
        <v>-551</v>
      </c>
      <c r="H88" s="16">
        <f t="shared" ref="H88:R88" si="33">H61+H75+H86+H87</f>
        <v>-1798</v>
      </c>
      <c r="I88" s="16">
        <f t="shared" si="33"/>
        <v>-3631</v>
      </c>
      <c r="J88" s="16">
        <f t="shared" si="33"/>
        <v>-2203</v>
      </c>
      <c r="K88" s="16">
        <f t="shared" si="33"/>
        <v>5986</v>
      </c>
      <c r="L88" s="16">
        <f t="shared" si="33"/>
        <v>1797</v>
      </c>
      <c r="M88" s="16">
        <f t="shared" si="33"/>
        <v>7967</v>
      </c>
      <c r="N88" s="16">
        <f t="shared" si="33"/>
        <v>-5520</v>
      </c>
      <c r="O88" s="16">
        <f t="shared" si="33"/>
        <v>934</v>
      </c>
      <c r="P88" s="16">
        <f t="shared" si="33"/>
        <v>2169</v>
      </c>
      <c r="Q88" s="16">
        <f t="shared" si="33"/>
        <v>-582</v>
      </c>
      <c r="R88" s="16">
        <f t="shared" si="33"/>
        <v>3131</v>
      </c>
      <c r="S88" s="16"/>
      <c r="T88" s="16">
        <f t="shared" ref="T88:Z88" si="34">T61+T75+T86+T87</f>
        <v>445</v>
      </c>
      <c r="U88" s="16">
        <f t="shared" si="34"/>
        <v>2732</v>
      </c>
      <c r="V88" s="16">
        <f t="shared" si="34"/>
        <v>-7266</v>
      </c>
      <c r="W88" s="16">
        <f t="shared" si="34"/>
        <v>3507</v>
      </c>
      <c r="X88" s="16">
        <f t="shared" si="34"/>
        <v>-202</v>
      </c>
      <c r="Y88" s="16">
        <f t="shared" si="34"/>
        <v>-2228</v>
      </c>
      <c r="Z88" s="16">
        <f t="shared" si="34"/>
        <v>2054</v>
      </c>
    </row>
    <row r="89" spans="2:30" x14ac:dyDescent="0.15"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T89" s="10"/>
      <c r="U89" s="10"/>
      <c r="V89" s="10"/>
      <c r="X89" s="10"/>
      <c r="Y89" s="10"/>
      <c r="Z89" s="10"/>
    </row>
    <row r="90" spans="2:30" x14ac:dyDescent="0.15"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1"/>
      <c r="T90" s="11"/>
      <c r="U90" s="11"/>
      <c r="V90" s="11"/>
      <c r="X90" s="11"/>
      <c r="Y90" s="11"/>
      <c r="Z90" s="11"/>
    </row>
    <row r="91" spans="2:30" x14ac:dyDescent="0.15">
      <c r="F91" s="13"/>
      <c r="G91" s="75">
        <f>G38/G92</f>
        <v>9.0983251331990714E-2</v>
      </c>
      <c r="H91" s="75">
        <f t="shared" ref="H91:R91" si="35">H38/H92</f>
        <v>0.12435717625058439</v>
      </c>
      <c r="I91" s="75">
        <f t="shared" si="35"/>
        <v>0.19756772953648405</v>
      </c>
      <c r="J91" s="75">
        <f t="shared" si="35"/>
        <v>0.1396089092301207</v>
      </c>
      <c r="K91" s="75">
        <f t="shared" si="35"/>
        <v>8.7103465656846332E-2</v>
      </c>
      <c r="L91" s="75">
        <f t="shared" si="35"/>
        <v>0.10346418902288949</v>
      </c>
      <c r="M91" s="75">
        <f t="shared" si="35"/>
        <v>0.12406180648486007</v>
      </c>
      <c r="N91" s="75">
        <f t="shared" si="35"/>
        <v>0.18110142325039807</v>
      </c>
      <c r="O91" s="75">
        <f t="shared" si="35"/>
        <v>0.12783837163955669</v>
      </c>
      <c r="P91" s="75">
        <f t="shared" si="35"/>
        <v>0.13066076260215903</v>
      </c>
      <c r="Q91" s="75">
        <f t="shared" si="35"/>
        <v>0.11826941734936794</v>
      </c>
      <c r="R91" s="75">
        <f t="shared" si="35"/>
        <v>9.3515086950650445E-2</v>
      </c>
      <c r="T91" s="11"/>
      <c r="U91" s="11"/>
      <c r="V91" s="11"/>
      <c r="X91" s="11"/>
      <c r="Y91" s="11"/>
      <c r="Z91" s="11"/>
    </row>
    <row r="92" spans="2:30" x14ac:dyDescent="0.15">
      <c r="B92" s="7" t="s">
        <v>128</v>
      </c>
      <c r="F92" s="13"/>
      <c r="G92" s="13">
        <f>G98+G99+G101+G102+G104+G105+G107+G108+G109+G110+G113+G114+G115+G116+G122</f>
        <v>78454</v>
      </c>
      <c r="H92" s="13">
        <f t="shared" ref="H92:R92" si="36">H98+H99+H101+H102+H104+H105+H107+H108+H109+H110+H113+H114+H115+H116+H122</f>
        <v>87699</v>
      </c>
      <c r="I92" s="13">
        <f t="shared" si="36"/>
        <v>96782</v>
      </c>
      <c r="J92" s="13">
        <f t="shared" si="36"/>
        <v>116239</v>
      </c>
      <c r="K92" s="13">
        <f t="shared" si="36"/>
        <v>154747</v>
      </c>
      <c r="L92" s="13">
        <f t="shared" si="36"/>
        <v>195024</v>
      </c>
      <c r="M92" s="13">
        <f t="shared" si="36"/>
        <v>240622</v>
      </c>
      <c r="N92" s="13">
        <f t="shared" si="36"/>
        <v>285122</v>
      </c>
      <c r="O92" s="13">
        <f t="shared" si="36"/>
        <v>317964</v>
      </c>
      <c r="P92" s="13">
        <f t="shared" si="36"/>
        <v>359978</v>
      </c>
      <c r="Q92" s="13">
        <f t="shared" si="36"/>
        <v>422586</v>
      </c>
      <c r="R92" s="13">
        <f t="shared" si="36"/>
        <v>533176</v>
      </c>
      <c r="T92" s="11"/>
      <c r="U92" s="11"/>
      <c r="V92" s="11"/>
      <c r="X92" s="11"/>
      <c r="Y92" s="11"/>
      <c r="Z92" s="11"/>
    </row>
    <row r="93" spans="2:30" x14ac:dyDescent="0.15"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1"/>
      <c r="T93" s="11"/>
      <c r="U93" s="11"/>
      <c r="V93" s="11"/>
      <c r="X93" s="11"/>
      <c r="Y93" s="11"/>
      <c r="Z93" s="11"/>
    </row>
    <row r="94" spans="2:30" x14ac:dyDescent="0.15">
      <c r="B94" s="74" t="s">
        <v>70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2:30" x14ac:dyDescent="0.15">
      <c r="B95" s="32"/>
      <c r="C95" s="22"/>
      <c r="D95" s="22"/>
      <c r="E95" s="22"/>
      <c r="F95" s="22"/>
      <c r="G95" s="33">
        <v>2014</v>
      </c>
      <c r="H95" s="33">
        <v>2015</v>
      </c>
      <c r="I95" s="33">
        <v>2016</v>
      </c>
      <c r="J95" s="33">
        <v>2017</v>
      </c>
      <c r="K95" s="33">
        <v>2018</v>
      </c>
      <c r="L95" s="33">
        <v>2019</v>
      </c>
      <c r="M95" s="33">
        <v>2020</v>
      </c>
      <c r="N95" s="33">
        <v>2021</v>
      </c>
      <c r="O95" s="33">
        <v>2022</v>
      </c>
      <c r="P95" s="33">
        <v>2023</v>
      </c>
      <c r="Q95" s="33">
        <v>2024</v>
      </c>
      <c r="R95" s="33" t="s">
        <v>17</v>
      </c>
      <c r="S95" s="22"/>
      <c r="T95" s="33"/>
      <c r="U95" s="33"/>
      <c r="V95" s="33"/>
      <c r="W95" s="33"/>
      <c r="X95" s="33"/>
      <c r="Y95" s="33"/>
      <c r="Z95" s="33"/>
    </row>
    <row r="96" spans="2:30" ht="15" x14ac:dyDescent="0.2">
      <c r="B96" s="4" t="s">
        <v>127</v>
      </c>
      <c r="G96" s="5">
        <v>18347</v>
      </c>
      <c r="H96" s="5">
        <v>16549</v>
      </c>
      <c r="I96" s="5">
        <v>12918</v>
      </c>
      <c r="J96" s="5">
        <v>10715</v>
      </c>
      <c r="K96" s="5">
        <v>16701</v>
      </c>
      <c r="L96" s="5">
        <v>18498</v>
      </c>
      <c r="M96" s="5">
        <v>26465</v>
      </c>
      <c r="N96" s="5">
        <v>20945</v>
      </c>
      <c r="O96" s="5">
        <v>21879</v>
      </c>
      <c r="P96" s="5">
        <v>24048</v>
      </c>
      <c r="Q96" s="5">
        <v>23466</v>
      </c>
      <c r="R96" s="5">
        <v>23090</v>
      </c>
      <c r="T96" s="17"/>
      <c r="U96" s="17"/>
      <c r="V96" s="17"/>
      <c r="X96" s="17"/>
      <c r="Y96" s="17"/>
      <c r="Z96" s="17"/>
    </row>
    <row r="97" spans="2:18" ht="15" x14ac:dyDescent="0.2">
      <c r="B97" s="4" t="s">
        <v>126</v>
      </c>
      <c r="G97" s="6">
        <v>46048</v>
      </c>
      <c r="H97" s="6">
        <v>56517</v>
      </c>
      <c r="I97" s="6">
        <v>73415</v>
      </c>
      <c r="J97" s="6">
        <v>91156</v>
      </c>
      <c r="K97" s="6">
        <v>92439</v>
      </c>
      <c r="L97" s="6">
        <v>101177</v>
      </c>
      <c r="M97" s="6">
        <v>110229</v>
      </c>
      <c r="N97" s="6">
        <v>118704</v>
      </c>
      <c r="O97" s="6">
        <v>91883</v>
      </c>
      <c r="P97" s="6">
        <v>86868</v>
      </c>
      <c r="Q97" s="6">
        <v>72191</v>
      </c>
      <c r="R97" s="6">
        <v>75406</v>
      </c>
    </row>
    <row r="98" spans="2:18" ht="15" x14ac:dyDescent="0.2">
      <c r="B98" s="4" t="s">
        <v>125</v>
      </c>
      <c r="G98" s="6">
        <v>9383</v>
      </c>
      <c r="H98" s="6">
        <v>11556</v>
      </c>
      <c r="I98" s="6">
        <v>14137</v>
      </c>
      <c r="J98" s="6">
        <v>18336</v>
      </c>
      <c r="K98" s="6">
        <v>20838</v>
      </c>
      <c r="L98" s="6">
        <v>25326</v>
      </c>
      <c r="M98" s="6">
        <v>30930</v>
      </c>
      <c r="N98" s="6">
        <v>39304</v>
      </c>
      <c r="O98" s="6">
        <v>40258</v>
      </c>
      <c r="P98" s="6">
        <v>47964</v>
      </c>
      <c r="Q98" s="6">
        <v>52340</v>
      </c>
      <c r="R98" s="6">
        <v>57148</v>
      </c>
    </row>
    <row r="99" spans="2:18" ht="15" x14ac:dyDescent="0.2">
      <c r="B99" s="4" t="s">
        <v>124</v>
      </c>
      <c r="G99" s="6">
        <v>875</v>
      </c>
      <c r="H99" s="6">
        <v>450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</row>
    <row r="100" spans="2:18" ht="15" x14ac:dyDescent="0.2">
      <c r="B100" s="4" t="s">
        <v>123</v>
      </c>
      <c r="G100" s="6">
        <v>591</v>
      </c>
      <c r="H100" s="6">
        <v>1903</v>
      </c>
      <c r="I100" s="6">
        <v>95</v>
      </c>
      <c r="J100" s="6">
        <v>369</v>
      </c>
      <c r="K100" s="6">
        <v>355</v>
      </c>
      <c r="L100" s="6">
        <v>2166</v>
      </c>
      <c r="M100" s="6">
        <v>454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</row>
    <row r="101" spans="2:18" ht="15" x14ac:dyDescent="0.2">
      <c r="B101" s="4" t="s">
        <v>122</v>
      </c>
      <c r="G101" s="6">
        <v>0</v>
      </c>
      <c r="H101" s="6">
        <v>491</v>
      </c>
      <c r="I101" s="6">
        <v>268</v>
      </c>
      <c r="J101" s="6">
        <v>749</v>
      </c>
      <c r="K101" s="6">
        <v>1107</v>
      </c>
      <c r="L101" s="6">
        <v>999</v>
      </c>
      <c r="M101" s="6">
        <v>728</v>
      </c>
      <c r="N101" s="6">
        <v>1170</v>
      </c>
      <c r="O101" s="6">
        <v>2670</v>
      </c>
      <c r="P101" s="6">
        <v>0</v>
      </c>
      <c r="Q101" s="6">
        <v>0</v>
      </c>
      <c r="R101" s="6">
        <v>0</v>
      </c>
    </row>
    <row r="102" spans="2:18" ht="15" x14ac:dyDescent="0.2">
      <c r="B102" s="73" t="s">
        <v>121</v>
      </c>
      <c r="C102" s="22"/>
      <c r="D102" s="22"/>
      <c r="E102" s="22"/>
      <c r="F102" s="22"/>
      <c r="G102" s="72">
        <v>3412</v>
      </c>
      <c r="H102" s="72">
        <v>2648</v>
      </c>
      <c r="I102" s="72">
        <v>4575</v>
      </c>
      <c r="J102" s="72">
        <v>2983</v>
      </c>
      <c r="K102" s="72">
        <v>4236</v>
      </c>
      <c r="L102" s="72">
        <v>4412</v>
      </c>
      <c r="M102" s="72">
        <v>5490</v>
      </c>
      <c r="N102" s="72">
        <v>8020</v>
      </c>
      <c r="O102" s="72">
        <v>8105</v>
      </c>
      <c r="P102" s="72">
        <v>12650</v>
      </c>
      <c r="Q102" s="72">
        <v>15714</v>
      </c>
      <c r="R102" s="72">
        <v>18303</v>
      </c>
    </row>
    <row r="103" spans="2:18" ht="15" x14ac:dyDescent="0.2">
      <c r="B103" s="4" t="s">
        <v>120</v>
      </c>
      <c r="G103" s="6">
        <f t="shared" ref="G103:R103" si="37">SUM(G96:G102)</f>
        <v>78656</v>
      </c>
      <c r="H103" s="6">
        <f t="shared" si="37"/>
        <v>90114</v>
      </c>
      <c r="I103" s="6">
        <f t="shared" si="37"/>
        <v>105408</v>
      </c>
      <c r="J103" s="6">
        <f t="shared" si="37"/>
        <v>124308</v>
      </c>
      <c r="K103" s="6">
        <f t="shared" si="37"/>
        <v>135676</v>
      </c>
      <c r="L103" s="6">
        <f t="shared" si="37"/>
        <v>152578</v>
      </c>
      <c r="M103" s="6">
        <f t="shared" si="37"/>
        <v>174296</v>
      </c>
      <c r="N103" s="6">
        <f t="shared" si="37"/>
        <v>188143</v>
      </c>
      <c r="O103" s="6">
        <f t="shared" si="37"/>
        <v>164795</v>
      </c>
      <c r="P103" s="6">
        <f t="shared" si="37"/>
        <v>171530</v>
      </c>
      <c r="Q103" s="6">
        <f t="shared" si="37"/>
        <v>163711</v>
      </c>
      <c r="R103" s="6">
        <f t="shared" si="37"/>
        <v>173947</v>
      </c>
    </row>
    <row r="104" spans="2:18" ht="15" x14ac:dyDescent="0.2">
      <c r="B104" s="4" t="s">
        <v>119</v>
      </c>
      <c r="G104" s="6">
        <v>3187</v>
      </c>
      <c r="H104" s="6">
        <v>3181</v>
      </c>
      <c r="I104" s="6">
        <v>1819</v>
      </c>
      <c r="J104" s="6">
        <v>2672</v>
      </c>
      <c r="K104" s="6">
        <v>2693</v>
      </c>
      <c r="L104" s="6">
        <v>2342</v>
      </c>
      <c r="M104" s="6">
        <v>3953</v>
      </c>
      <c r="N104" s="6">
        <v>5361</v>
      </c>
      <c r="O104" s="6">
        <v>6623</v>
      </c>
      <c r="P104" s="6">
        <v>10051</v>
      </c>
      <c r="Q104" s="6">
        <v>14874</v>
      </c>
      <c r="R104" s="6">
        <v>16811</v>
      </c>
    </row>
    <row r="105" spans="2:18" ht="15" x14ac:dyDescent="0.2">
      <c r="B105" s="4" t="s">
        <v>118</v>
      </c>
      <c r="G105" s="6">
        <v>3079</v>
      </c>
      <c r="H105" s="6">
        <v>5183</v>
      </c>
      <c r="I105" s="6">
        <v>5878</v>
      </c>
      <c r="J105" s="6">
        <v>7813</v>
      </c>
      <c r="K105" s="6">
        <v>13859</v>
      </c>
      <c r="L105" s="6">
        <v>13078</v>
      </c>
      <c r="M105" s="6">
        <v>20703</v>
      </c>
      <c r="N105" s="6">
        <v>29549</v>
      </c>
      <c r="O105" s="6">
        <v>30492</v>
      </c>
      <c r="P105" s="6">
        <v>31008</v>
      </c>
      <c r="Q105" s="6">
        <v>37982</v>
      </c>
      <c r="R105" s="6">
        <v>63800</v>
      </c>
    </row>
    <row r="106" spans="2:18" ht="15" x14ac:dyDescent="0.2">
      <c r="B106" s="4" t="s">
        <v>58</v>
      </c>
      <c r="G106" s="6">
        <v>176</v>
      </c>
      <c r="H106" s="6">
        <v>251</v>
      </c>
      <c r="I106" s="6">
        <v>383</v>
      </c>
      <c r="J106" s="6">
        <v>680</v>
      </c>
      <c r="K106" s="6">
        <v>737</v>
      </c>
      <c r="L106" s="6">
        <v>721</v>
      </c>
      <c r="M106" s="6">
        <v>1084</v>
      </c>
      <c r="N106" s="6">
        <v>1284</v>
      </c>
      <c r="O106" s="6">
        <v>5261</v>
      </c>
      <c r="P106" s="6">
        <v>12169</v>
      </c>
      <c r="Q106" s="6">
        <v>17180</v>
      </c>
      <c r="R106" s="6">
        <v>10331</v>
      </c>
    </row>
    <row r="107" spans="2:18" ht="15" x14ac:dyDescent="0.2">
      <c r="B107" s="4" t="s">
        <v>117</v>
      </c>
      <c r="G107" s="6">
        <v>23883</v>
      </c>
      <c r="H107" s="6">
        <v>29016</v>
      </c>
      <c r="I107" s="6">
        <v>34234</v>
      </c>
      <c r="J107" s="6">
        <v>42383</v>
      </c>
      <c r="K107" s="6">
        <v>59719</v>
      </c>
      <c r="L107" s="6">
        <v>73646</v>
      </c>
      <c r="M107" s="6">
        <v>84749</v>
      </c>
      <c r="N107" s="6">
        <v>97599</v>
      </c>
      <c r="O107" s="6">
        <v>112668</v>
      </c>
      <c r="P107" s="6">
        <v>134345</v>
      </c>
      <c r="Q107" s="6">
        <v>171036</v>
      </c>
      <c r="R107" s="6">
        <v>223787</v>
      </c>
    </row>
    <row r="108" spans="2:18" ht="15" x14ac:dyDescent="0.2">
      <c r="B108" s="4" t="s">
        <v>116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10941</v>
      </c>
      <c r="M108" s="6">
        <v>12211</v>
      </c>
      <c r="N108" s="6">
        <v>12959</v>
      </c>
      <c r="O108" s="6">
        <v>14381</v>
      </c>
      <c r="P108" s="6">
        <v>14091</v>
      </c>
      <c r="Q108" s="6">
        <v>13588</v>
      </c>
      <c r="R108" s="6">
        <v>14524</v>
      </c>
    </row>
    <row r="109" spans="2:18" ht="15" x14ac:dyDescent="0.2">
      <c r="B109" s="4" t="s">
        <v>115</v>
      </c>
      <c r="G109" s="6">
        <v>4607</v>
      </c>
      <c r="H109" s="6">
        <v>3847</v>
      </c>
      <c r="I109" s="6">
        <v>3307</v>
      </c>
      <c r="J109" s="6">
        <v>2692</v>
      </c>
      <c r="K109" s="6">
        <v>2220</v>
      </c>
      <c r="L109" s="6">
        <v>1979</v>
      </c>
      <c r="M109" s="6">
        <v>1445</v>
      </c>
      <c r="N109" s="6">
        <v>1417</v>
      </c>
      <c r="O109" s="6">
        <v>2084</v>
      </c>
      <c r="P109" s="6">
        <v>0</v>
      </c>
      <c r="Q109" s="6">
        <v>0</v>
      </c>
      <c r="R109" s="6">
        <v>0</v>
      </c>
    </row>
    <row r="110" spans="2:18" ht="15" x14ac:dyDescent="0.2">
      <c r="B110" s="73" t="s">
        <v>114</v>
      </c>
      <c r="C110" s="22"/>
      <c r="D110" s="22"/>
      <c r="E110" s="22"/>
      <c r="F110" s="22"/>
      <c r="G110" s="72">
        <v>15599</v>
      </c>
      <c r="H110" s="72">
        <v>15869</v>
      </c>
      <c r="I110" s="72">
        <v>16468</v>
      </c>
      <c r="J110" s="72">
        <v>16747</v>
      </c>
      <c r="K110" s="72">
        <v>17888</v>
      </c>
      <c r="L110" s="72">
        <v>20624</v>
      </c>
      <c r="M110" s="72">
        <v>21175</v>
      </c>
      <c r="N110" s="72">
        <v>22956</v>
      </c>
      <c r="O110" s="72">
        <v>28960</v>
      </c>
      <c r="P110" s="72">
        <v>29198</v>
      </c>
      <c r="Q110" s="72">
        <v>31885</v>
      </c>
      <c r="R110" s="72">
        <v>33269</v>
      </c>
    </row>
    <row r="111" spans="2:18" ht="15" x14ac:dyDescent="0.2">
      <c r="B111" s="4" t="s">
        <v>113</v>
      </c>
      <c r="G111" s="5">
        <f t="shared" ref="G111:R111" si="38">SUM(G103:G110)</f>
        <v>129187</v>
      </c>
      <c r="H111" s="5">
        <f t="shared" si="38"/>
        <v>147461</v>
      </c>
      <c r="I111" s="5">
        <f t="shared" si="38"/>
        <v>167497</v>
      </c>
      <c r="J111" s="5">
        <f t="shared" si="38"/>
        <v>197295</v>
      </c>
      <c r="K111" s="5">
        <f t="shared" si="38"/>
        <v>232792</v>
      </c>
      <c r="L111" s="5">
        <f t="shared" si="38"/>
        <v>275909</v>
      </c>
      <c r="M111" s="5">
        <f t="shared" si="38"/>
        <v>319616</v>
      </c>
      <c r="N111" s="5">
        <f t="shared" si="38"/>
        <v>359268</v>
      </c>
      <c r="O111" s="5">
        <f t="shared" si="38"/>
        <v>365264</v>
      </c>
      <c r="P111" s="5">
        <f t="shared" si="38"/>
        <v>402392</v>
      </c>
      <c r="Q111" s="5">
        <f t="shared" si="38"/>
        <v>450256</v>
      </c>
      <c r="R111" s="5">
        <f t="shared" si="38"/>
        <v>536469</v>
      </c>
    </row>
    <row r="112" spans="2:18" ht="15" x14ac:dyDescent="0.2">
      <c r="B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2:18" ht="15" x14ac:dyDescent="0.2">
      <c r="B113" s="4" t="s">
        <v>49</v>
      </c>
      <c r="G113" s="5">
        <v>1715</v>
      </c>
      <c r="H113" s="5">
        <v>1931</v>
      </c>
      <c r="I113" s="5">
        <v>2041</v>
      </c>
      <c r="J113" s="5">
        <v>3137</v>
      </c>
      <c r="K113" s="5">
        <v>4378</v>
      </c>
      <c r="L113" s="5">
        <v>5561</v>
      </c>
      <c r="M113" s="5">
        <v>5589</v>
      </c>
      <c r="N113" s="5">
        <v>6037</v>
      </c>
      <c r="O113" s="5">
        <v>5128</v>
      </c>
      <c r="P113" s="5">
        <v>7493</v>
      </c>
      <c r="Q113" s="5">
        <v>7987</v>
      </c>
      <c r="R113" s="5">
        <v>10546</v>
      </c>
    </row>
    <row r="114" spans="2:18" ht="15" x14ac:dyDescent="0.2">
      <c r="B114" s="4" t="s">
        <v>112</v>
      </c>
      <c r="G114" s="6">
        <v>2009</v>
      </c>
      <c r="H114" s="6">
        <v>3225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</row>
    <row r="115" spans="2:18" ht="15" x14ac:dyDescent="0.2">
      <c r="B115" s="4" t="s">
        <v>111</v>
      </c>
      <c r="G115" s="6">
        <v>3069</v>
      </c>
      <c r="H115" s="6">
        <v>3539</v>
      </c>
      <c r="I115" s="6">
        <v>3976</v>
      </c>
      <c r="J115" s="6">
        <v>4581</v>
      </c>
      <c r="K115" s="6">
        <v>6839</v>
      </c>
      <c r="L115" s="6">
        <v>8495</v>
      </c>
      <c r="M115" s="6">
        <v>11086</v>
      </c>
      <c r="N115" s="6">
        <v>13889</v>
      </c>
      <c r="O115" s="6">
        <v>14028</v>
      </c>
      <c r="P115" s="6">
        <v>15140</v>
      </c>
      <c r="Q115" s="6">
        <v>15069</v>
      </c>
      <c r="R115" s="6">
        <v>13944</v>
      </c>
    </row>
    <row r="116" spans="2:18" ht="15" x14ac:dyDescent="0.2">
      <c r="B116" s="4" t="s">
        <v>110</v>
      </c>
      <c r="G116" s="6">
        <v>4408</v>
      </c>
      <c r="H116" s="6">
        <v>4768</v>
      </c>
      <c r="I116" s="6">
        <v>6144</v>
      </c>
      <c r="J116" s="6">
        <v>10177</v>
      </c>
      <c r="K116" s="6">
        <v>16958</v>
      </c>
      <c r="L116" s="6">
        <v>23067</v>
      </c>
      <c r="M116" s="6">
        <v>28631</v>
      </c>
      <c r="N116" s="6">
        <v>32044</v>
      </c>
      <c r="O116" s="6">
        <v>37866</v>
      </c>
      <c r="P116" s="6">
        <v>46168</v>
      </c>
      <c r="Q116" s="6">
        <v>51228</v>
      </c>
      <c r="R116" s="6">
        <v>59437</v>
      </c>
    </row>
    <row r="117" spans="2:18" ht="15" x14ac:dyDescent="0.2">
      <c r="B117" s="4" t="s">
        <v>47</v>
      </c>
      <c r="G117" s="6">
        <v>1952</v>
      </c>
      <c r="H117" s="6">
        <v>2329</v>
      </c>
      <c r="I117" s="6">
        <v>2942</v>
      </c>
      <c r="J117" s="6">
        <v>3975</v>
      </c>
      <c r="K117" s="6">
        <v>4592</v>
      </c>
      <c r="L117" s="6">
        <v>5916</v>
      </c>
      <c r="M117" s="6">
        <v>7500</v>
      </c>
      <c r="N117" s="6">
        <v>8996</v>
      </c>
      <c r="O117" s="6">
        <v>8370</v>
      </c>
      <c r="P117" s="6">
        <v>8876</v>
      </c>
      <c r="Q117" s="6">
        <v>9802</v>
      </c>
      <c r="R117" s="6">
        <v>10081</v>
      </c>
    </row>
    <row r="118" spans="2:18" ht="15" x14ac:dyDescent="0.2">
      <c r="B118" s="4" t="s">
        <v>109</v>
      </c>
      <c r="G118" s="6">
        <v>2778</v>
      </c>
      <c r="H118" s="6">
        <v>2428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</row>
    <row r="119" spans="2:18" ht="15" x14ac:dyDescent="0.2">
      <c r="B119" s="4" t="s">
        <v>46</v>
      </c>
      <c r="G119" s="6">
        <v>752</v>
      </c>
      <c r="H119" s="6">
        <v>788</v>
      </c>
      <c r="I119" s="6">
        <v>1099</v>
      </c>
      <c r="J119" s="6">
        <v>1432</v>
      </c>
      <c r="K119" s="6">
        <v>1784</v>
      </c>
      <c r="L119" s="6">
        <v>1908</v>
      </c>
      <c r="M119" s="6">
        <v>2543</v>
      </c>
      <c r="N119" s="6">
        <v>3288</v>
      </c>
      <c r="O119" s="6">
        <v>3908</v>
      </c>
      <c r="P119" s="6">
        <v>4137</v>
      </c>
      <c r="Q119" s="6">
        <v>5036</v>
      </c>
      <c r="R119" s="6">
        <v>5542</v>
      </c>
    </row>
    <row r="120" spans="2:18" ht="15" x14ac:dyDescent="0.2">
      <c r="B120" s="73" t="s">
        <v>108</v>
      </c>
      <c r="C120" s="22"/>
      <c r="D120" s="22"/>
      <c r="E120" s="22"/>
      <c r="F120" s="22"/>
      <c r="G120" s="72">
        <v>96</v>
      </c>
      <c r="H120" s="72">
        <v>302</v>
      </c>
      <c r="I120" s="72">
        <v>554</v>
      </c>
      <c r="J120" s="72">
        <v>881</v>
      </c>
      <c r="K120" s="72">
        <v>69</v>
      </c>
      <c r="L120" s="72">
        <v>274</v>
      </c>
      <c r="M120" s="72">
        <v>1485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</row>
    <row r="121" spans="2:18" ht="15" x14ac:dyDescent="0.2">
      <c r="B121" s="4" t="s">
        <v>107</v>
      </c>
      <c r="G121" s="6">
        <f>SUM(G113:G120)</f>
        <v>16779</v>
      </c>
      <c r="H121" s="6">
        <f t="shared" ref="H121:R121" si="39">SUM(H113:H120)</f>
        <v>19310</v>
      </c>
      <c r="I121" s="6">
        <f t="shared" si="39"/>
        <v>16756</v>
      </c>
      <c r="J121" s="6">
        <f t="shared" si="39"/>
        <v>24183</v>
      </c>
      <c r="K121" s="6">
        <f t="shared" si="39"/>
        <v>34620</v>
      </c>
      <c r="L121" s="6">
        <f t="shared" si="39"/>
        <v>45221</v>
      </c>
      <c r="M121" s="6">
        <f t="shared" si="39"/>
        <v>56834</v>
      </c>
      <c r="N121" s="6">
        <f t="shared" si="39"/>
        <v>64254</v>
      </c>
      <c r="O121" s="6">
        <f t="shared" si="39"/>
        <v>69300</v>
      </c>
      <c r="P121" s="6">
        <f t="shared" si="39"/>
        <v>81814</v>
      </c>
      <c r="Q121" s="6">
        <f t="shared" si="39"/>
        <v>89122</v>
      </c>
      <c r="R121" s="6">
        <f t="shared" si="39"/>
        <v>99550</v>
      </c>
    </row>
    <row r="122" spans="2:18" ht="15" x14ac:dyDescent="0.2">
      <c r="B122" s="4" t="s">
        <v>106</v>
      </c>
      <c r="G122" s="6">
        <v>3228</v>
      </c>
      <c r="H122" s="6">
        <v>1995</v>
      </c>
      <c r="I122" s="6">
        <v>3935</v>
      </c>
      <c r="J122" s="6">
        <v>3969</v>
      </c>
      <c r="K122" s="6">
        <v>4012</v>
      </c>
      <c r="L122" s="6">
        <v>4554</v>
      </c>
      <c r="M122" s="6">
        <v>13932</v>
      </c>
      <c r="N122" s="6">
        <v>14817</v>
      </c>
      <c r="O122" s="6">
        <v>14701</v>
      </c>
      <c r="P122" s="6">
        <v>11870</v>
      </c>
      <c r="Q122" s="6">
        <v>10883</v>
      </c>
      <c r="R122" s="6">
        <v>21607</v>
      </c>
    </row>
    <row r="123" spans="2:18" ht="15" x14ac:dyDescent="0.2">
      <c r="B123" s="4" t="s">
        <v>105</v>
      </c>
      <c r="G123" s="6">
        <v>104</v>
      </c>
      <c r="H123" s="6">
        <v>151</v>
      </c>
      <c r="I123" s="6">
        <v>202</v>
      </c>
      <c r="J123" s="6">
        <v>340</v>
      </c>
      <c r="K123" s="6">
        <v>396</v>
      </c>
      <c r="L123" s="6">
        <v>358</v>
      </c>
      <c r="M123" s="6">
        <v>481</v>
      </c>
      <c r="N123" s="6">
        <v>535</v>
      </c>
      <c r="O123" s="6">
        <v>599</v>
      </c>
      <c r="P123" s="3">
        <v>0</v>
      </c>
      <c r="Q123" s="3">
        <v>0</v>
      </c>
      <c r="R123" s="3">
        <v>0</v>
      </c>
    </row>
    <row r="124" spans="2:18" ht="15" x14ac:dyDescent="0.2">
      <c r="B124" s="4" t="s">
        <v>104</v>
      </c>
      <c r="G124" s="6">
        <v>3340</v>
      </c>
      <c r="H124" s="6">
        <v>3663</v>
      </c>
      <c r="I124" s="6">
        <v>4677</v>
      </c>
      <c r="J124" s="6">
        <v>12812</v>
      </c>
      <c r="K124" s="6">
        <v>11327</v>
      </c>
      <c r="L124" s="6">
        <v>9885</v>
      </c>
      <c r="M124" s="6">
        <v>8849</v>
      </c>
      <c r="N124" s="6">
        <v>9176</v>
      </c>
      <c r="O124" s="6">
        <v>9258</v>
      </c>
      <c r="P124" s="6">
        <v>8474</v>
      </c>
      <c r="Q124" s="6">
        <v>8782</v>
      </c>
      <c r="R124" s="6">
        <v>10072</v>
      </c>
    </row>
    <row r="125" spans="2:18" ht="15" x14ac:dyDescent="0.2">
      <c r="B125" s="4" t="s">
        <v>58</v>
      </c>
      <c r="G125" s="6">
        <v>758</v>
      </c>
      <c r="H125" s="6">
        <v>189</v>
      </c>
      <c r="I125" s="6">
        <v>226</v>
      </c>
      <c r="J125" s="6">
        <v>430</v>
      </c>
      <c r="K125" s="6">
        <v>1264</v>
      </c>
      <c r="L125" s="6">
        <v>1701</v>
      </c>
      <c r="M125" s="6">
        <v>3561</v>
      </c>
      <c r="N125" s="6">
        <v>5257</v>
      </c>
      <c r="O125" s="6">
        <v>514</v>
      </c>
      <c r="P125" s="3">
        <v>0</v>
      </c>
      <c r="Q125" s="3">
        <v>0</v>
      </c>
      <c r="R125" s="3">
        <v>0</v>
      </c>
    </row>
    <row r="126" spans="2:18" ht="15" x14ac:dyDescent="0.2">
      <c r="B126" s="4" t="s">
        <v>103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6">
        <v>10214</v>
      </c>
      <c r="M126" s="6">
        <v>11146</v>
      </c>
      <c r="N126" s="6">
        <v>11389</v>
      </c>
      <c r="O126" s="6">
        <v>12501</v>
      </c>
      <c r="P126" s="6">
        <v>12460</v>
      </c>
      <c r="Q126" s="6">
        <v>11691</v>
      </c>
      <c r="R126" s="6">
        <v>12106</v>
      </c>
    </row>
    <row r="127" spans="2:18" ht="15" x14ac:dyDescent="0.2">
      <c r="B127" s="73" t="s">
        <v>102</v>
      </c>
      <c r="C127" s="22"/>
      <c r="D127" s="22"/>
      <c r="E127" s="22"/>
      <c r="F127" s="22"/>
      <c r="G127" s="72">
        <v>1118</v>
      </c>
      <c r="H127" s="72">
        <v>1822</v>
      </c>
      <c r="I127" s="72">
        <v>2665</v>
      </c>
      <c r="J127" s="72">
        <v>3059</v>
      </c>
      <c r="K127" s="72">
        <v>3545</v>
      </c>
      <c r="L127" s="72">
        <v>2534</v>
      </c>
      <c r="M127" s="72">
        <v>2269</v>
      </c>
      <c r="N127" s="72">
        <v>2205</v>
      </c>
      <c r="O127" s="72">
        <v>2247</v>
      </c>
      <c r="P127" s="72">
        <v>4395</v>
      </c>
      <c r="Q127" s="72">
        <v>4694</v>
      </c>
      <c r="R127" s="72">
        <v>6267</v>
      </c>
    </row>
    <row r="128" spans="2:18" ht="15" x14ac:dyDescent="0.2">
      <c r="B128" s="4" t="s">
        <v>101</v>
      </c>
      <c r="G128" s="6">
        <f t="shared" ref="G128:R128" si="40">SUM(G121:G127)</f>
        <v>25327</v>
      </c>
      <c r="H128" s="6">
        <f t="shared" si="40"/>
        <v>27130</v>
      </c>
      <c r="I128" s="6">
        <f t="shared" si="40"/>
        <v>28461</v>
      </c>
      <c r="J128" s="6">
        <f t="shared" si="40"/>
        <v>44793</v>
      </c>
      <c r="K128" s="6">
        <f t="shared" si="40"/>
        <v>55164</v>
      </c>
      <c r="L128" s="6">
        <f t="shared" si="40"/>
        <v>74467</v>
      </c>
      <c r="M128" s="6">
        <f t="shared" si="40"/>
        <v>97072</v>
      </c>
      <c r="N128" s="6">
        <f t="shared" si="40"/>
        <v>107633</v>
      </c>
      <c r="O128" s="6">
        <f t="shared" si="40"/>
        <v>109120</v>
      </c>
      <c r="P128" s="6">
        <f t="shared" si="40"/>
        <v>119013</v>
      </c>
      <c r="Q128" s="6">
        <f t="shared" si="40"/>
        <v>125172</v>
      </c>
      <c r="R128" s="6">
        <f t="shared" si="40"/>
        <v>149602</v>
      </c>
    </row>
    <row r="129" spans="2:18" ht="15" x14ac:dyDescent="0.2">
      <c r="B129" s="1" t="s">
        <v>100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2:18" ht="15" x14ac:dyDescent="0.2">
      <c r="B130" s="1" t="s">
        <v>99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2:18" ht="15" x14ac:dyDescent="0.2">
      <c r="B131" s="1" t="s">
        <v>98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2:18" ht="15" x14ac:dyDescent="0.2">
      <c r="B132" s="4" t="s">
        <v>97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</row>
    <row r="133" spans="2:18" ht="15" x14ac:dyDescent="0.2">
      <c r="B133" s="4" t="s">
        <v>96</v>
      </c>
      <c r="G133" s="6">
        <v>28767</v>
      </c>
      <c r="H133" s="6">
        <v>32982</v>
      </c>
      <c r="I133" s="6">
        <v>36307</v>
      </c>
      <c r="J133" s="6">
        <v>40247</v>
      </c>
      <c r="K133" s="6">
        <v>45049</v>
      </c>
      <c r="L133" s="6">
        <v>50552</v>
      </c>
      <c r="M133" s="6">
        <v>58510</v>
      </c>
      <c r="N133" s="6">
        <v>61774</v>
      </c>
      <c r="O133" s="6">
        <v>68184</v>
      </c>
      <c r="P133" s="6">
        <v>76534</v>
      </c>
      <c r="Q133" s="6">
        <v>84800</v>
      </c>
      <c r="R133" s="6">
        <v>91695</v>
      </c>
    </row>
    <row r="134" spans="2:18" ht="15" x14ac:dyDescent="0.2">
      <c r="B134" s="4" t="s">
        <v>95</v>
      </c>
      <c r="G134" s="6">
        <v>27</v>
      </c>
      <c r="H134" s="6">
        <v>-1874</v>
      </c>
      <c r="I134" s="6">
        <v>-2402</v>
      </c>
      <c r="J134" s="6">
        <v>-992</v>
      </c>
      <c r="K134" s="6">
        <v>-2306</v>
      </c>
      <c r="L134" s="6">
        <v>-1232</v>
      </c>
      <c r="M134" s="6">
        <v>633</v>
      </c>
      <c r="N134" s="6">
        <v>-1623</v>
      </c>
      <c r="O134" s="6">
        <v>-7603</v>
      </c>
      <c r="P134" s="6">
        <v>-4402</v>
      </c>
      <c r="Q134" s="6">
        <v>-4800</v>
      </c>
      <c r="R134" s="6">
        <v>-2054</v>
      </c>
    </row>
    <row r="135" spans="2:18" ht="15" x14ac:dyDescent="0.2">
      <c r="B135" s="4" t="s">
        <v>94</v>
      </c>
      <c r="G135" s="6">
        <v>75066</v>
      </c>
      <c r="H135" s="6">
        <v>89223</v>
      </c>
      <c r="I135" s="6">
        <v>105131</v>
      </c>
      <c r="J135" s="6">
        <v>113247</v>
      </c>
      <c r="K135" s="6">
        <v>134885</v>
      </c>
      <c r="L135" s="6">
        <v>152122</v>
      </c>
      <c r="M135" s="6">
        <v>163401</v>
      </c>
      <c r="N135" s="6">
        <v>191484</v>
      </c>
      <c r="O135" s="6">
        <v>195563</v>
      </c>
      <c r="P135" s="6">
        <v>211247</v>
      </c>
      <c r="Q135" s="6">
        <v>245084</v>
      </c>
      <c r="R135" s="6">
        <v>297226</v>
      </c>
    </row>
    <row r="136" spans="2:18" ht="15" x14ac:dyDescent="0.2">
      <c r="B136" s="4" t="s">
        <v>93</v>
      </c>
      <c r="G136" s="6">
        <v>103860</v>
      </c>
      <c r="H136" s="6">
        <v>120331</v>
      </c>
      <c r="I136" s="6">
        <v>139036</v>
      </c>
      <c r="J136" s="6">
        <v>152502</v>
      </c>
      <c r="K136" s="6">
        <v>177628</v>
      </c>
      <c r="L136" s="6">
        <v>201442</v>
      </c>
      <c r="M136" s="6">
        <v>222544</v>
      </c>
      <c r="N136" s="6">
        <v>251635</v>
      </c>
      <c r="O136" s="6">
        <v>256144</v>
      </c>
      <c r="P136" s="6">
        <v>283379</v>
      </c>
      <c r="Q136" s="6">
        <v>325084</v>
      </c>
      <c r="R136" s="6">
        <v>386867</v>
      </c>
    </row>
    <row r="137" spans="2:18" ht="15" x14ac:dyDescent="0.2">
      <c r="B137" s="4" t="s">
        <v>92</v>
      </c>
      <c r="G137" s="5">
        <v>129187</v>
      </c>
      <c r="H137" s="5">
        <v>147461</v>
      </c>
      <c r="I137" s="5">
        <v>167497</v>
      </c>
      <c r="J137" s="5">
        <v>197295</v>
      </c>
      <c r="K137" s="5">
        <v>232792</v>
      </c>
      <c r="L137" s="5">
        <v>275909</v>
      </c>
      <c r="M137" s="5">
        <v>319616</v>
      </c>
      <c r="N137" s="5">
        <v>359268</v>
      </c>
      <c r="O137" s="5">
        <v>365264</v>
      </c>
      <c r="P137" s="5">
        <v>402392</v>
      </c>
      <c r="Q137" s="5">
        <v>450256</v>
      </c>
      <c r="R137" s="5">
        <v>536469</v>
      </c>
    </row>
  </sheetData>
  <phoneticPr fontId="4" type="noConversion"/>
  <pageMargins left="0.75" right="0.75" top="1" bottom="1" header="0.5" footer="0.5"/>
  <ignoredErrors>
    <ignoredError sqref="G103:R103 G128:R128 H61:R6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3401-9C87-C340-9EC4-494EA9A9705F}">
  <dimension ref="B1:AB99"/>
  <sheetViews>
    <sheetView showGridLines="0" workbookViewId="0"/>
  </sheetViews>
  <sheetFormatPr baseColWidth="10" defaultColWidth="8.83203125" defaultRowHeight="13" x14ac:dyDescent="0.15"/>
  <cols>
    <col min="1" max="1" width="3.83203125" style="7" customWidth="1"/>
    <col min="2" max="3" width="10.33203125" style="7" bestFit="1" customWidth="1"/>
    <col min="4" max="4" width="10.6640625" style="7" bestFit="1" customWidth="1"/>
    <col min="5" max="5" width="10.33203125" style="7" bestFit="1" customWidth="1"/>
    <col min="6" max="13" width="10.5" style="7" bestFit="1" customWidth="1"/>
    <col min="14" max="14" width="10.6640625" style="7" bestFit="1" customWidth="1"/>
    <col min="15" max="17" width="10.5" style="7" bestFit="1" customWidth="1"/>
    <col min="18" max="18" width="10.6640625" style="7" bestFit="1" customWidth="1"/>
    <col min="19" max="27" width="10.33203125" style="7" bestFit="1" customWidth="1"/>
    <col min="28" max="28" width="10.6640625" style="7" bestFit="1" customWidth="1"/>
    <col min="29" max="16384" width="8.83203125" style="7"/>
  </cols>
  <sheetData>
    <row r="1" spans="2:28" x14ac:dyDescent="0.15"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2:28" x14ac:dyDescent="0.15">
      <c r="B2" s="30" t="s">
        <v>71</v>
      </c>
      <c r="C2" s="31"/>
      <c r="D2" s="31"/>
      <c r="E2" s="8"/>
      <c r="F2" s="30" t="s">
        <v>73</v>
      </c>
      <c r="G2" s="31"/>
      <c r="H2" s="31"/>
      <c r="I2" s="31"/>
      <c r="J2" s="8"/>
      <c r="K2" s="8"/>
      <c r="L2" s="8"/>
      <c r="M2" s="8"/>
    </row>
    <row r="3" spans="2:28" x14ac:dyDescent="0.15">
      <c r="B3" s="7" t="s">
        <v>72</v>
      </c>
      <c r="C3" s="8"/>
      <c r="D3" s="76">
        <v>313.04000000000002</v>
      </c>
      <c r="E3" s="8"/>
      <c r="F3" s="40" t="s">
        <v>81</v>
      </c>
      <c r="G3" s="8"/>
      <c r="H3" s="8"/>
      <c r="I3" s="41">
        <v>5818</v>
      </c>
      <c r="J3" s="8"/>
      <c r="K3" s="8"/>
      <c r="L3" s="8"/>
      <c r="M3" s="8"/>
    </row>
    <row r="4" spans="2:28" x14ac:dyDescent="0.15">
      <c r="B4" s="22" t="s">
        <v>73</v>
      </c>
      <c r="C4" s="35"/>
      <c r="D4" s="43">
        <f>I7</f>
        <v>12390</v>
      </c>
      <c r="E4" s="8"/>
      <c r="F4" s="40" t="s">
        <v>82</v>
      </c>
      <c r="G4" s="8"/>
      <c r="H4" s="8"/>
      <c r="I4" s="41">
        <v>842</v>
      </c>
      <c r="J4" s="8"/>
      <c r="K4" s="8"/>
      <c r="L4" s="8"/>
      <c r="M4" s="8"/>
    </row>
    <row r="5" spans="2:28" x14ac:dyDescent="0.15">
      <c r="B5" s="7" t="s">
        <v>74</v>
      </c>
      <c r="C5" s="8"/>
      <c r="D5" s="41">
        <f>D3*D4</f>
        <v>3878565.6</v>
      </c>
      <c r="E5" s="8"/>
      <c r="F5" s="40" t="s">
        <v>83</v>
      </c>
      <c r="G5" s="8"/>
      <c r="H5" s="8"/>
      <c r="I5" s="41">
        <v>5407</v>
      </c>
      <c r="J5" s="8"/>
      <c r="K5" s="8"/>
      <c r="L5" s="8"/>
      <c r="M5" s="8"/>
    </row>
    <row r="6" spans="2:28" x14ac:dyDescent="0.15">
      <c r="C6" s="8"/>
      <c r="D6" s="8"/>
      <c r="E6" s="8"/>
      <c r="F6" s="42" t="s">
        <v>84</v>
      </c>
      <c r="G6" s="35"/>
      <c r="H6" s="35"/>
      <c r="I6" s="43">
        <v>323</v>
      </c>
      <c r="J6" s="8"/>
      <c r="K6" s="8"/>
      <c r="L6" s="8"/>
      <c r="M6" s="8"/>
    </row>
    <row r="7" spans="2:28" x14ac:dyDescent="0.15">
      <c r="B7" s="7" t="s">
        <v>75</v>
      </c>
      <c r="C7" s="8"/>
      <c r="D7" s="41">
        <f>-23466-72191</f>
        <v>-95657</v>
      </c>
      <c r="E7" s="8"/>
      <c r="F7" s="40" t="s">
        <v>73</v>
      </c>
      <c r="G7" s="8"/>
      <c r="H7" s="8"/>
      <c r="I7" s="41">
        <f>SUM(I3:I6)</f>
        <v>12390</v>
      </c>
      <c r="J7" s="8"/>
      <c r="K7" s="8"/>
      <c r="L7" s="8"/>
      <c r="M7" s="8"/>
    </row>
    <row r="8" spans="2:28" x14ac:dyDescent="0.15">
      <c r="B8" s="22" t="s">
        <v>76</v>
      </c>
      <c r="C8" s="35"/>
      <c r="D8" s="43">
        <v>10883</v>
      </c>
      <c r="E8" s="8"/>
      <c r="F8" s="40"/>
      <c r="G8" s="8"/>
      <c r="H8" s="8"/>
      <c r="I8" s="8"/>
      <c r="J8" s="8"/>
      <c r="K8" s="8"/>
      <c r="L8" s="8"/>
      <c r="M8" s="8"/>
    </row>
    <row r="9" spans="2:28" x14ac:dyDescent="0.15">
      <c r="B9" s="7" t="s">
        <v>77</v>
      </c>
      <c r="C9" s="8"/>
      <c r="D9" s="41">
        <f>D7+D8</f>
        <v>-84774</v>
      </c>
      <c r="E9" s="8"/>
      <c r="F9" s="40"/>
      <c r="G9" s="8"/>
      <c r="H9" s="8"/>
      <c r="I9" s="8"/>
      <c r="J9" s="8"/>
      <c r="K9" s="8"/>
      <c r="L9" s="8"/>
      <c r="M9" s="8"/>
    </row>
    <row r="10" spans="2:28" x14ac:dyDescent="0.15">
      <c r="C10" s="8"/>
      <c r="D10" s="8"/>
      <c r="E10" s="8"/>
      <c r="F10" s="40"/>
      <c r="G10" s="8"/>
      <c r="H10" s="8"/>
      <c r="I10" s="8"/>
      <c r="J10" s="8"/>
      <c r="K10" s="8"/>
      <c r="L10" s="8"/>
      <c r="M10" s="8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2:28" x14ac:dyDescent="0.15">
      <c r="B11" s="7" t="s">
        <v>78</v>
      </c>
      <c r="C11" s="8"/>
      <c r="D11" s="41">
        <f>D5+D9</f>
        <v>3793791.6</v>
      </c>
      <c r="E11" s="8"/>
      <c r="F11" s="8"/>
      <c r="G11" s="8"/>
      <c r="H11" s="8"/>
      <c r="I11" s="8"/>
      <c r="J11" s="8"/>
      <c r="K11" s="8"/>
      <c r="L11" s="8"/>
      <c r="M11" s="8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2:28" x14ac:dyDescent="0.1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2:28" x14ac:dyDescent="0.15">
      <c r="B13" s="36" t="s">
        <v>79</v>
      </c>
      <c r="C13" s="37"/>
      <c r="D13" s="44">
        <f>D11/R37</f>
        <v>76.088880866425995</v>
      </c>
      <c r="E13" s="8"/>
      <c r="F13" s="8"/>
      <c r="G13" s="8"/>
      <c r="H13" s="8"/>
      <c r="I13" s="8"/>
      <c r="J13" s="8"/>
      <c r="K13" s="8"/>
      <c r="L13" s="8"/>
      <c r="M13" s="8"/>
    </row>
    <row r="14" spans="2:28" x14ac:dyDescent="0.15">
      <c r="B14" s="38" t="s">
        <v>80</v>
      </c>
      <c r="C14" s="39"/>
      <c r="D14" s="45">
        <f>D11/R35</f>
        <v>30.533288263273537</v>
      </c>
      <c r="E14" s="8"/>
      <c r="F14" s="8"/>
      <c r="G14" s="8"/>
      <c r="H14" s="8"/>
      <c r="I14" s="8"/>
      <c r="J14" s="8"/>
      <c r="K14" s="8"/>
      <c r="L14" s="8"/>
      <c r="M14" s="8"/>
    </row>
    <row r="15" spans="2:28" x14ac:dyDescent="0.15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N15" s="10"/>
      <c r="O15" s="10"/>
      <c r="P15" s="10"/>
      <c r="R15" s="10"/>
    </row>
    <row r="16" spans="2:28" x14ac:dyDescent="0.15">
      <c r="B16" s="9"/>
      <c r="C16" s="11"/>
      <c r="D16" s="11"/>
      <c r="E16" s="11"/>
      <c r="F16" s="11"/>
      <c r="G16" s="11"/>
      <c r="H16" s="11"/>
      <c r="I16" s="11"/>
      <c r="J16" s="11"/>
      <c r="K16" s="11"/>
      <c r="L16" s="11"/>
      <c r="N16" s="10"/>
      <c r="O16" s="10"/>
      <c r="P16" s="10"/>
      <c r="R16" s="10"/>
      <c r="S16" s="7">
        <v>1</v>
      </c>
      <c r="T16" s="7">
        <v>2</v>
      </c>
      <c r="U16" s="7">
        <v>3</v>
      </c>
      <c r="V16" s="7">
        <v>4</v>
      </c>
      <c r="W16" s="7">
        <v>5</v>
      </c>
      <c r="X16" s="7">
        <v>6</v>
      </c>
      <c r="Y16" s="7">
        <v>7</v>
      </c>
      <c r="Z16" s="7">
        <v>8</v>
      </c>
      <c r="AA16" s="7">
        <v>9</v>
      </c>
      <c r="AB16" s="7">
        <v>10</v>
      </c>
    </row>
    <row r="17" spans="2:28" x14ac:dyDescent="0.15">
      <c r="B17" s="30" t="s">
        <v>68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60"/>
      <c r="S17" s="47"/>
      <c r="T17" s="47"/>
      <c r="U17" s="47"/>
      <c r="V17" s="47"/>
      <c r="W17" s="47"/>
      <c r="X17" s="47"/>
      <c r="Y17" s="47"/>
      <c r="Z17" s="47"/>
      <c r="AA17" s="47"/>
      <c r="AB17" s="47"/>
    </row>
    <row r="18" spans="2:28" x14ac:dyDescent="0.15">
      <c r="B18" s="32"/>
      <c r="C18" s="22"/>
      <c r="D18" s="22"/>
      <c r="E18" s="22"/>
      <c r="F18" s="22"/>
      <c r="G18" s="22"/>
      <c r="H18" s="33">
        <v>2015</v>
      </c>
      <c r="I18" s="33">
        <v>2016</v>
      </c>
      <c r="J18" s="33">
        <v>2017</v>
      </c>
      <c r="K18" s="33">
        <v>2018</v>
      </c>
      <c r="L18" s="33">
        <v>2019</v>
      </c>
      <c r="M18" s="33">
        <v>2020</v>
      </c>
      <c r="N18" s="33">
        <v>2021</v>
      </c>
      <c r="O18" s="33">
        <v>2022</v>
      </c>
      <c r="P18" s="33">
        <v>2023</v>
      </c>
      <c r="Q18" s="33">
        <v>2024</v>
      </c>
      <c r="R18" s="61" t="s">
        <v>63</v>
      </c>
      <c r="S18" s="48">
        <v>2026</v>
      </c>
      <c r="T18" s="48">
        <v>2027</v>
      </c>
      <c r="U18" s="48">
        <f>T18+1</f>
        <v>2028</v>
      </c>
      <c r="V18" s="48">
        <f t="shared" ref="V18:AB18" si="0">U18+1</f>
        <v>2029</v>
      </c>
      <c r="W18" s="48">
        <f t="shared" si="0"/>
        <v>2030</v>
      </c>
      <c r="X18" s="48">
        <f t="shared" si="0"/>
        <v>2031</v>
      </c>
      <c r="Y18" s="48">
        <f t="shared" si="0"/>
        <v>2032</v>
      </c>
      <c r="Z18" s="48">
        <f t="shared" si="0"/>
        <v>2033</v>
      </c>
      <c r="AA18" s="48">
        <f t="shared" si="0"/>
        <v>2034</v>
      </c>
      <c r="AB18" s="48">
        <f t="shared" si="0"/>
        <v>2035</v>
      </c>
    </row>
    <row r="19" spans="2:28" x14ac:dyDescent="0.15">
      <c r="B19" s="12" t="s">
        <v>0</v>
      </c>
      <c r="H19" s="25">
        <v>74989</v>
      </c>
      <c r="I19" s="25">
        <v>90272</v>
      </c>
      <c r="J19" s="25">
        <v>110855</v>
      </c>
      <c r="K19" s="25">
        <v>136819</v>
      </c>
      <c r="L19" s="25">
        <v>161857</v>
      </c>
      <c r="M19" s="25">
        <v>182527</v>
      </c>
      <c r="N19" s="25">
        <v>257637</v>
      </c>
      <c r="O19" s="25">
        <v>282836</v>
      </c>
      <c r="P19" s="25">
        <v>307394</v>
      </c>
      <c r="Q19" s="25">
        <v>350018</v>
      </c>
      <c r="R19" s="62">
        <v>385477</v>
      </c>
      <c r="S19" s="50">
        <f>R19*(1+S20)</f>
        <v>416315.16000000003</v>
      </c>
      <c r="T19" s="50">
        <f t="shared" ref="T19:AB19" si="1">S19*(1+T20)</f>
        <v>449620.37280000007</v>
      </c>
      <c r="U19" s="50">
        <f t="shared" si="1"/>
        <v>485590.00262400013</v>
      </c>
      <c r="V19" s="50">
        <f t="shared" si="1"/>
        <v>524437.20283392014</v>
      </c>
      <c r="W19" s="50">
        <f t="shared" si="1"/>
        <v>566392.17906063376</v>
      </c>
      <c r="X19" s="50">
        <f t="shared" si="1"/>
        <v>611703.5533854845</v>
      </c>
      <c r="Y19" s="50">
        <f t="shared" si="1"/>
        <v>660639.83765632333</v>
      </c>
      <c r="Z19" s="50">
        <f t="shared" si="1"/>
        <v>713491.02466882928</v>
      </c>
      <c r="AA19" s="50">
        <f t="shared" si="1"/>
        <v>770570.30664233572</v>
      </c>
      <c r="AB19" s="50">
        <f t="shared" si="1"/>
        <v>832215.93117372261</v>
      </c>
    </row>
    <row r="20" spans="2:28" x14ac:dyDescent="0.15">
      <c r="B20" s="19" t="s">
        <v>64</v>
      </c>
      <c r="H20" s="10"/>
      <c r="I20" s="20">
        <f>I19/H19 - 1</f>
        <v>0.20380322447292265</v>
      </c>
      <c r="J20" s="20">
        <f t="shared" ref="J20:R20" si="2">J19/I19 - 1</f>
        <v>0.22801090038993266</v>
      </c>
      <c r="K20" s="20">
        <f t="shared" si="2"/>
        <v>0.23421586757475987</v>
      </c>
      <c r="L20" s="20">
        <f t="shared" si="2"/>
        <v>0.18300089899794614</v>
      </c>
      <c r="M20" s="20">
        <f t="shared" si="2"/>
        <v>0.12770532012826141</v>
      </c>
      <c r="N20" s="20">
        <f t="shared" si="2"/>
        <v>0.41150076427049154</v>
      </c>
      <c r="O20" s="20">
        <f t="shared" si="2"/>
        <v>9.7808156437157789E-2</v>
      </c>
      <c r="P20" s="20">
        <f t="shared" si="2"/>
        <v>8.6827702272695095E-2</v>
      </c>
      <c r="Q20" s="20">
        <f t="shared" si="2"/>
        <v>0.13866243322901561</v>
      </c>
      <c r="R20" s="63">
        <f t="shared" si="2"/>
        <v>0.10130621853733235</v>
      </c>
      <c r="S20" s="51">
        <v>0.08</v>
      </c>
      <c r="T20" s="49">
        <f>S20</f>
        <v>0.08</v>
      </c>
      <c r="U20" s="49">
        <f t="shared" ref="U20:AB20" si="3">T20</f>
        <v>0.08</v>
      </c>
      <c r="V20" s="49">
        <f t="shared" si="3"/>
        <v>0.08</v>
      </c>
      <c r="W20" s="49">
        <f t="shared" si="3"/>
        <v>0.08</v>
      </c>
      <c r="X20" s="49">
        <f t="shared" si="3"/>
        <v>0.08</v>
      </c>
      <c r="Y20" s="49">
        <f t="shared" si="3"/>
        <v>0.08</v>
      </c>
      <c r="Z20" s="49">
        <f t="shared" si="3"/>
        <v>0.08</v>
      </c>
      <c r="AA20" s="49">
        <f t="shared" si="3"/>
        <v>0.08</v>
      </c>
      <c r="AB20" s="49">
        <f t="shared" si="3"/>
        <v>0.08</v>
      </c>
    </row>
    <row r="21" spans="2:28" x14ac:dyDescent="0.15">
      <c r="B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64"/>
    </row>
    <row r="22" spans="2:28" x14ac:dyDescent="0.15">
      <c r="B22" s="21" t="s">
        <v>1</v>
      </c>
      <c r="C22" s="22"/>
      <c r="D22" s="22"/>
      <c r="E22" s="22"/>
      <c r="F22" s="22"/>
      <c r="G22" s="23"/>
      <c r="H22" s="23">
        <v>-28164</v>
      </c>
      <c r="I22" s="23">
        <v>-35138</v>
      </c>
      <c r="J22" s="23">
        <v>-45583</v>
      </c>
      <c r="K22" s="23">
        <v>-59549</v>
      </c>
      <c r="L22" s="23">
        <v>-71896</v>
      </c>
      <c r="M22" s="23">
        <v>-84732</v>
      </c>
      <c r="N22" s="23">
        <v>-110939</v>
      </c>
      <c r="O22" s="23">
        <v>-126203</v>
      </c>
      <c r="P22" s="23">
        <v>-133332</v>
      </c>
      <c r="Q22" s="23">
        <v>-146306</v>
      </c>
      <c r="R22" s="65">
        <v>-157382</v>
      </c>
      <c r="S22" s="23">
        <f>S23-S19</f>
        <v>-170689.21560000003</v>
      </c>
      <c r="T22" s="23">
        <f t="shared" ref="T22:AB22" si="4">T23-T19</f>
        <v>-184344.35284800007</v>
      </c>
      <c r="U22" s="23">
        <f t="shared" si="4"/>
        <v>-199091.90107584005</v>
      </c>
      <c r="V22" s="23">
        <f t="shared" si="4"/>
        <v>-215019.25316190725</v>
      </c>
      <c r="W22" s="23">
        <f t="shared" si="4"/>
        <v>-232220.79341485986</v>
      </c>
      <c r="X22" s="23">
        <f t="shared" si="4"/>
        <v>-250798.45688804868</v>
      </c>
      <c r="Y22" s="23">
        <f t="shared" si="4"/>
        <v>-270862.33343909256</v>
      </c>
      <c r="Z22" s="23">
        <f t="shared" si="4"/>
        <v>-292531.32011422003</v>
      </c>
      <c r="AA22" s="23">
        <f t="shared" si="4"/>
        <v>-315933.82572335767</v>
      </c>
      <c r="AB22" s="23">
        <f t="shared" si="4"/>
        <v>-341208.53178122628</v>
      </c>
    </row>
    <row r="23" spans="2:28" x14ac:dyDescent="0.15">
      <c r="B23" s="7" t="s">
        <v>65</v>
      </c>
      <c r="H23" s="24">
        <f>H19+H22</f>
        <v>46825</v>
      </c>
      <c r="I23" s="24">
        <f t="shared" ref="I23:R23" si="5">I19+I22</f>
        <v>55134</v>
      </c>
      <c r="J23" s="24">
        <f t="shared" si="5"/>
        <v>65272</v>
      </c>
      <c r="K23" s="24">
        <f t="shared" si="5"/>
        <v>77270</v>
      </c>
      <c r="L23" s="24">
        <f t="shared" si="5"/>
        <v>89961</v>
      </c>
      <c r="M23" s="24">
        <f t="shared" si="5"/>
        <v>97795</v>
      </c>
      <c r="N23" s="24">
        <f t="shared" si="5"/>
        <v>146698</v>
      </c>
      <c r="O23" s="24">
        <f t="shared" si="5"/>
        <v>156633</v>
      </c>
      <c r="P23" s="24">
        <f t="shared" si="5"/>
        <v>174062</v>
      </c>
      <c r="Q23" s="24">
        <f t="shared" si="5"/>
        <v>203712</v>
      </c>
      <c r="R23" s="62">
        <f t="shared" si="5"/>
        <v>228095</v>
      </c>
      <c r="S23" s="24">
        <f>S24*S19</f>
        <v>245625.94440000001</v>
      </c>
      <c r="T23" s="24">
        <f t="shared" ref="T23:AB23" si="6">T24*T19</f>
        <v>265276.019952</v>
      </c>
      <c r="U23" s="24">
        <f t="shared" si="6"/>
        <v>286498.10154816008</v>
      </c>
      <c r="V23" s="24">
        <f t="shared" si="6"/>
        <v>309417.94967201288</v>
      </c>
      <c r="W23" s="24">
        <f t="shared" si="6"/>
        <v>334171.3856457739</v>
      </c>
      <c r="X23" s="24">
        <f t="shared" si="6"/>
        <v>360905.09649743582</v>
      </c>
      <c r="Y23" s="24">
        <f t="shared" si="6"/>
        <v>389777.50421723077</v>
      </c>
      <c r="Z23" s="24">
        <f t="shared" si="6"/>
        <v>420959.70455460926</v>
      </c>
      <c r="AA23" s="24">
        <f t="shared" si="6"/>
        <v>454636.48091897805</v>
      </c>
      <c r="AB23" s="24">
        <f t="shared" si="6"/>
        <v>491007.39939249633</v>
      </c>
    </row>
    <row r="24" spans="2:28" x14ac:dyDescent="0.15">
      <c r="B24" s="7" t="s">
        <v>66</v>
      </c>
      <c r="H24" s="26">
        <f>H23/H19</f>
        <v>0.62442491565429592</v>
      </c>
      <c r="I24" s="26">
        <f t="shared" ref="I24:R24" si="7">I23/I19</f>
        <v>0.61075416518964909</v>
      </c>
      <c r="J24" s="26">
        <f t="shared" si="7"/>
        <v>0.58880519597672631</v>
      </c>
      <c r="K24" s="26">
        <f t="shared" si="7"/>
        <v>0.5647607422945643</v>
      </c>
      <c r="L24" s="26">
        <f t="shared" si="7"/>
        <v>0.5558054331910266</v>
      </c>
      <c r="M24" s="26">
        <f t="shared" si="7"/>
        <v>0.53578374706207854</v>
      </c>
      <c r="N24" s="26">
        <f t="shared" si="7"/>
        <v>0.5693980290098084</v>
      </c>
      <c r="O24" s="26">
        <f t="shared" si="7"/>
        <v>0.55379442503783116</v>
      </c>
      <c r="P24" s="26">
        <f t="shared" si="7"/>
        <v>0.56625047984020505</v>
      </c>
      <c r="Q24" s="26">
        <f t="shared" si="7"/>
        <v>0.58200435406179107</v>
      </c>
      <c r="R24" s="66">
        <f t="shared" si="7"/>
        <v>0.59172142566223151</v>
      </c>
      <c r="S24" s="52">
        <v>0.59</v>
      </c>
      <c r="T24" s="26">
        <f t="shared" ref="T24:AB24" si="8">S24</f>
        <v>0.59</v>
      </c>
      <c r="U24" s="26">
        <f t="shared" si="8"/>
        <v>0.59</v>
      </c>
      <c r="V24" s="26">
        <f t="shared" si="8"/>
        <v>0.59</v>
      </c>
      <c r="W24" s="26">
        <f t="shared" si="8"/>
        <v>0.59</v>
      </c>
      <c r="X24" s="26">
        <f t="shared" si="8"/>
        <v>0.59</v>
      </c>
      <c r="Y24" s="26">
        <f t="shared" si="8"/>
        <v>0.59</v>
      </c>
      <c r="Z24" s="26">
        <f t="shared" si="8"/>
        <v>0.59</v>
      </c>
      <c r="AA24" s="26">
        <f t="shared" si="8"/>
        <v>0.59</v>
      </c>
      <c r="AB24" s="26">
        <f t="shared" si="8"/>
        <v>0.59</v>
      </c>
    </row>
    <row r="25" spans="2:28" x14ac:dyDescent="0.15">
      <c r="R25" s="64"/>
    </row>
    <row r="26" spans="2:28" x14ac:dyDescent="0.15">
      <c r="B26" s="12" t="s">
        <v>2</v>
      </c>
      <c r="H26" s="15">
        <v>-12282</v>
      </c>
      <c r="I26" s="15">
        <v>-13948</v>
      </c>
      <c r="J26" s="15">
        <v>-16625</v>
      </c>
      <c r="K26" s="15">
        <v>-21419</v>
      </c>
      <c r="L26" s="15">
        <v>-26018</v>
      </c>
      <c r="M26" s="15">
        <v>-27573</v>
      </c>
      <c r="N26" s="15">
        <v>-31562</v>
      </c>
      <c r="O26" s="15">
        <v>-39500</v>
      </c>
      <c r="P26" s="15">
        <v>-45427</v>
      </c>
      <c r="Q26" s="15">
        <v>-49326</v>
      </c>
      <c r="R26" s="67">
        <v>-55631</v>
      </c>
      <c r="S26" s="15">
        <f t="shared" ref="S26:AB26" si="9">S$19*-S43</f>
        <v>-58284.122400000007</v>
      </c>
      <c r="T26" s="15">
        <f t="shared" si="9"/>
        <v>-62946.852192000013</v>
      </c>
      <c r="U26" s="15">
        <f t="shared" si="9"/>
        <v>-67982.600367360021</v>
      </c>
      <c r="V26" s="15">
        <f t="shared" si="9"/>
        <v>-73421.208396748829</v>
      </c>
      <c r="W26" s="15">
        <f t="shared" si="9"/>
        <v>-79294.905068488733</v>
      </c>
      <c r="X26" s="15">
        <f t="shared" si="9"/>
        <v>-85638.497473967844</v>
      </c>
      <c r="Y26" s="15">
        <f t="shared" si="9"/>
        <v>-92489.577271885282</v>
      </c>
      <c r="Z26" s="15">
        <f t="shared" si="9"/>
        <v>-99888.743453636111</v>
      </c>
      <c r="AA26" s="15">
        <f t="shared" si="9"/>
        <v>-107879.84292992701</v>
      </c>
      <c r="AB26" s="15">
        <f t="shared" si="9"/>
        <v>-116510.23036432118</v>
      </c>
    </row>
    <row r="27" spans="2:28" x14ac:dyDescent="0.15">
      <c r="B27" s="12" t="s">
        <v>3</v>
      </c>
      <c r="H27" s="15">
        <v>-9047</v>
      </c>
      <c r="I27" s="15">
        <v>-10485</v>
      </c>
      <c r="J27" s="15">
        <v>-12893</v>
      </c>
      <c r="K27" s="15">
        <v>-16333</v>
      </c>
      <c r="L27" s="15">
        <v>-18464</v>
      </c>
      <c r="M27" s="15">
        <v>-17946</v>
      </c>
      <c r="N27" s="15">
        <v>-22912</v>
      </c>
      <c r="O27" s="15">
        <v>-26567</v>
      </c>
      <c r="P27" s="15">
        <v>-27917</v>
      </c>
      <c r="Q27" s="15">
        <v>-27808</v>
      </c>
      <c r="R27" s="67">
        <v>-27841</v>
      </c>
      <c r="S27" s="15">
        <f t="shared" ref="S27:AB27" si="10">S$19*-S44</f>
        <v>-29142.061200000004</v>
      </c>
      <c r="T27" s="15">
        <f t="shared" si="10"/>
        <v>-31473.426096000007</v>
      </c>
      <c r="U27" s="15">
        <f t="shared" si="10"/>
        <v>-33991.30018368001</v>
      </c>
      <c r="V27" s="15">
        <f t="shared" si="10"/>
        <v>-36710.604198374414</v>
      </c>
      <c r="W27" s="15">
        <f t="shared" si="10"/>
        <v>-39647.452534244367</v>
      </c>
      <c r="X27" s="15">
        <f t="shared" si="10"/>
        <v>-42819.248736983922</v>
      </c>
      <c r="Y27" s="15">
        <f t="shared" si="10"/>
        <v>-46244.788635942641</v>
      </c>
      <c r="Z27" s="15">
        <f t="shared" si="10"/>
        <v>-49944.371726818055</v>
      </c>
      <c r="AA27" s="15">
        <f t="shared" si="10"/>
        <v>-53939.921464963503</v>
      </c>
      <c r="AB27" s="15">
        <f t="shared" si="10"/>
        <v>-58255.115182160589</v>
      </c>
    </row>
    <row r="28" spans="2:28" x14ac:dyDescent="0.15">
      <c r="B28" s="21" t="s">
        <v>4</v>
      </c>
      <c r="C28" s="22"/>
      <c r="D28" s="22"/>
      <c r="E28" s="22"/>
      <c r="F28" s="22"/>
      <c r="G28" s="22"/>
      <c r="H28" s="23">
        <v>-6136</v>
      </c>
      <c r="I28" s="23">
        <v>-6985</v>
      </c>
      <c r="J28" s="23">
        <v>-6872</v>
      </c>
      <c r="K28" s="23">
        <v>-6923</v>
      </c>
      <c r="L28" s="23">
        <v>-9551</v>
      </c>
      <c r="M28" s="23">
        <v>-11052</v>
      </c>
      <c r="N28" s="23">
        <v>-13510</v>
      </c>
      <c r="O28" s="23">
        <v>-15724</v>
      </c>
      <c r="P28" s="23">
        <v>-16425</v>
      </c>
      <c r="Q28" s="23">
        <v>-14188</v>
      </c>
      <c r="R28" s="65">
        <v>-20546</v>
      </c>
      <c r="S28" s="23">
        <f t="shared" ref="S28:AB28" si="11">S$19*-S45</f>
        <v>-20815.758000000002</v>
      </c>
      <c r="T28" s="23">
        <f t="shared" si="11"/>
        <v>-22481.018640000006</v>
      </c>
      <c r="U28" s="23">
        <f t="shared" si="11"/>
        <v>-24279.500131200009</v>
      </c>
      <c r="V28" s="23">
        <f t="shared" si="11"/>
        <v>-26221.860141696008</v>
      </c>
      <c r="W28" s="23">
        <f t="shared" si="11"/>
        <v>-28319.608953031689</v>
      </c>
      <c r="X28" s="23">
        <f t="shared" si="11"/>
        <v>-30585.177669274228</v>
      </c>
      <c r="Y28" s="23">
        <f t="shared" si="11"/>
        <v>-33031.991882816168</v>
      </c>
      <c r="Z28" s="23">
        <f t="shared" si="11"/>
        <v>-35674.551233441467</v>
      </c>
      <c r="AA28" s="23">
        <f t="shared" si="11"/>
        <v>-38528.515332116789</v>
      </c>
      <c r="AB28" s="23">
        <f t="shared" si="11"/>
        <v>-41610.796558686132</v>
      </c>
    </row>
    <row r="29" spans="2:28" x14ac:dyDescent="0.15">
      <c r="B29" s="12" t="s">
        <v>6</v>
      </c>
      <c r="H29" s="15">
        <f>SUM(H26:H28)</f>
        <v>-27465</v>
      </c>
      <c r="I29" s="15">
        <f t="shared" ref="I29:S29" si="12">SUM(I26:I28)</f>
        <v>-31418</v>
      </c>
      <c r="J29" s="15">
        <f t="shared" si="12"/>
        <v>-36390</v>
      </c>
      <c r="K29" s="15">
        <f t="shared" si="12"/>
        <v>-44675</v>
      </c>
      <c r="L29" s="15">
        <f t="shared" si="12"/>
        <v>-54033</v>
      </c>
      <c r="M29" s="15">
        <f t="shared" si="12"/>
        <v>-56571</v>
      </c>
      <c r="N29" s="15">
        <f t="shared" si="12"/>
        <v>-67984</v>
      </c>
      <c r="O29" s="15">
        <f t="shared" si="12"/>
        <v>-81791</v>
      </c>
      <c r="P29" s="15">
        <f t="shared" si="12"/>
        <v>-89769</v>
      </c>
      <c r="Q29" s="15">
        <f t="shared" si="12"/>
        <v>-91322</v>
      </c>
      <c r="R29" s="67">
        <f t="shared" si="12"/>
        <v>-104018</v>
      </c>
      <c r="S29" s="15">
        <f t="shared" si="12"/>
        <v>-108241.94160000002</v>
      </c>
      <c r="T29" s="15">
        <f t="shared" ref="T29" si="13">SUM(T26:T28)</f>
        <v>-116901.29692800003</v>
      </c>
      <c r="U29" s="15">
        <f t="shared" ref="U29" si="14">SUM(U26:U28)</f>
        <v>-126253.40068224004</v>
      </c>
      <c r="V29" s="15">
        <f t="shared" ref="V29" si="15">SUM(V26:V28)</f>
        <v>-136353.67273681925</v>
      </c>
      <c r="W29" s="15">
        <f t="shared" ref="W29" si="16">SUM(W26:W28)</f>
        <v>-147261.96655576478</v>
      </c>
      <c r="X29" s="15">
        <f t="shared" ref="X29" si="17">SUM(X26:X28)</f>
        <v>-159042.92388022598</v>
      </c>
      <c r="Y29" s="15">
        <f t="shared" ref="Y29" si="18">SUM(Y26:Y28)</f>
        <v>-171766.35779064408</v>
      </c>
      <c r="Z29" s="15">
        <f t="shared" ref="Z29" si="19">SUM(Z26:Z28)</f>
        <v>-185507.66641389561</v>
      </c>
      <c r="AA29" s="15">
        <f t="shared" ref="AA29" si="20">SUM(AA26:AA28)</f>
        <v>-200348.27972700732</v>
      </c>
      <c r="AB29" s="15">
        <f t="shared" ref="AB29" si="21">SUM(AB26:AB28)</f>
        <v>-216376.14210516791</v>
      </c>
    </row>
    <row r="30" spans="2:28" x14ac:dyDescent="0.15">
      <c r="B30" s="12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67"/>
    </row>
    <row r="31" spans="2:28" x14ac:dyDescent="0.15">
      <c r="B31" s="12" t="s">
        <v>67</v>
      </c>
      <c r="H31" s="15">
        <f t="shared" ref="H31:R31" si="22">H23+H29</f>
        <v>19360</v>
      </c>
      <c r="I31" s="15">
        <f t="shared" si="22"/>
        <v>23716</v>
      </c>
      <c r="J31" s="15">
        <f t="shared" si="22"/>
        <v>28882</v>
      </c>
      <c r="K31" s="15">
        <f t="shared" si="22"/>
        <v>32595</v>
      </c>
      <c r="L31" s="15">
        <f t="shared" si="22"/>
        <v>35928</v>
      </c>
      <c r="M31" s="15">
        <f t="shared" si="22"/>
        <v>41224</v>
      </c>
      <c r="N31" s="15">
        <f t="shared" si="22"/>
        <v>78714</v>
      </c>
      <c r="O31" s="15">
        <f t="shared" si="22"/>
        <v>74842</v>
      </c>
      <c r="P31" s="15">
        <f t="shared" si="22"/>
        <v>84293</v>
      </c>
      <c r="Q31" s="15">
        <f t="shared" si="22"/>
        <v>112390</v>
      </c>
      <c r="R31" s="67">
        <f t="shared" si="22"/>
        <v>124077</v>
      </c>
      <c r="S31" s="15">
        <f t="shared" ref="S31:AB31" si="23">S23+S29</f>
        <v>137384.00279999999</v>
      </c>
      <c r="T31" s="15">
        <f t="shared" si="23"/>
        <v>148374.72302399998</v>
      </c>
      <c r="U31" s="15">
        <f t="shared" si="23"/>
        <v>160244.70086592005</v>
      </c>
      <c r="V31" s="15">
        <f t="shared" si="23"/>
        <v>173064.27693519363</v>
      </c>
      <c r="W31" s="15">
        <f t="shared" si="23"/>
        <v>186909.41909000912</v>
      </c>
      <c r="X31" s="15">
        <f t="shared" si="23"/>
        <v>201862.17261720984</v>
      </c>
      <c r="Y31" s="15">
        <f t="shared" si="23"/>
        <v>218011.1464265867</v>
      </c>
      <c r="Z31" s="15">
        <f t="shared" si="23"/>
        <v>235452.03814071364</v>
      </c>
      <c r="AA31" s="15">
        <f t="shared" si="23"/>
        <v>254288.20119197073</v>
      </c>
      <c r="AB31" s="15">
        <f t="shared" si="23"/>
        <v>274631.25728732842</v>
      </c>
    </row>
    <row r="32" spans="2:28" x14ac:dyDescent="0.15">
      <c r="B32" s="21" t="s">
        <v>7</v>
      </c>
      <c r="C32" s="22"/>
      <c r="D32" s="22"/>
      <c r="E32" s="22"/>
      <c r="F32" s="22"/>
      <c r="G32" s="22"/>
      <c r="H32" s="27">
        <v>291</v>
      </c>
      <c r="I32" s="27">
        <v>434</v>
      </c>
      <c r="J32" s="27">
        <v>1047</v>
      </c>
      <c r="K32" s="27">
        <v>7389</v>
      </c>
      <c r="L32" s="27">
        <v>5394</v>
      </c>
      <c r="M32" s="27">
        <v>6858</v>
      </c>
      <c r="N32" s="27">
        <v>12020</v>
      </c>
      <c r="O32" s="27">
        <v>-3514</v>
      </c>
      <c r="P32" s="27">
        <v>1424</v>
      </c>
      <c r="Q32" s="27">
        <v>7425</v>
      </c>
      <c r="R32" s="68">
        <v>27875</v>
      </c>
      <c r="S32" s="53">
        <f>R32</f>
        <v>27875</v>
      </c>
      <c r="T32" s="54">
        <f>S32</f>
        <v>27875</v>
      </c>
      <c r="U32" s="54">
        <f t="shared" ref="U32:AB32" si="24">T32</f>
        <v>27875</v>
      </c>
      <c r="V32" s="54">
        <f t="shared" si="24"/>
        <v>27875</v>
      </c>
      <c r="W32" s="54">
        <f t="shared" si="24"/>
        <v>27875</v>
      </c>
      <c r="X32" s="54">
        <f t="shared" si="24"/>
        <v>27875</v>
      </c>
      <c r="Y32" s="54">
        <f t="shared" si="24"/>
        <v>27875</v>
      </c>
      <c r="Z32" s="54">
        <f t="shared" si="24"/>
        <v>27875</v>
      </c>
      <c r="AA32" s="54">
        <f t="shared" si="24"/>
        <v>27875</v>
      </c>
      <c r="AB32" s="54">
        <f t="shared" si="24"/>
        <v>27875</v>
      </c>
    </row>
    <row r="33" spans="2:28" x14ac:dyDescent="0.15">
      <c r="B33" s="12" t="s">
        <v>8</v>
      </c>
      <c r="H33" s="15">
        <f>H31+H32</f>
        <v>19651</v>
      </c>
      <c r="I33" s="15">
        <f t="shared" ref="I33:P33" si="25">I31+I32</f>
        <v>24150</v>
      </c>
      <c r="J33" s="15">
        <f t="shared" si="25"/>
        <v>29929</v>
      </c>
      <c r="K33" s="15">
        <f t="shared" si="25"/>
        <v>39984</v>
      </c>
      <c r="L33" s="15">
        <f t="shared" si="25"/>
        <v>41322</v>
      </c>
      <c r="M33" s="15">
        <f t="shared" si="25"/>
        <v>48082</v>
      </c>
      <c r="N33" s="15">
        <f t="shared" si="25"/>
        <v>90734</v>
      </c>
      <c r="O33" s="15">
        <f t="shared" si="25"/>
        <v>71328</v>
      </c>
      <c r="P33" s="15">
        <f t="shared" si="25"/>
        <v>85717</v>
      </c>
      <c r="Q33" s="15">
        <f>Q31+Q32</f>
        <v>119815</v>
      </c>
      <c r="R33" s="67">
        <f>R31+R32</f>
        <v>151952</v>
      </c>
      <c r="S33" s="15">
        <f t="shared" ref="S33:AB33" si="26">S31+S32</f>
        <v>165259.00279999999</v>
      </c>
      <c r="T33" s="15">
        <f t="shared" si="26"/>
        <v>176249.72302399998</v>
      </c>
      <c r="U33" s="15">
        <f t="shared" si="26"/>
        <v>188119.70086592005</v>
      </c>
      <c r="V33" s="15">
        <f t="shared" si="26"/>
        <v>200939.27693519363</v>
      </c>
      <c r="W33" s="15">
        <f t="shared" si="26"/>
        <v>214784.41909000912</v>
      </c>
      <c r="X33" s="15">
        <f t="shared" si="26"/>
        <v>229737.17261720984</v>
      </c>
      <c r="Y33" s="15">
        <f t="shared" si="26"/>
        <v>245886.1464265867</v>
      </c>
      <c r="Z33" s="15">
        <f t="shared" si="26"/>
        <v>263327.03814071364</v>
      </c>
      <c r="AA33" s="15">
        <f t="shared" si="26"/>
        <v>282163.20119197073</v>
      </c>
      <c r="AB33" s="15">
        <f t="shared" si="26"/>
        <v>302506.25728732842</v>
      </c>
    </row>
    <row r="34" spans="2:28" x14ac:dyDescent="0.15">
      <c r="B34" s="21" t="s">
        <v>9</v>
      </c>
      <c r="C34" s="22"/>
      <c r="D34" s="22"/>
      <c r="E34" s="22"/>
      <c r="F34" s="22"/>
      <c r="G34" s="23"/>
      <c r="H34" s="23">
        <v>-3303</v>
      </c>
      <c r="I34" s="23">
        <v>-4672</v>
      </c>
      <c r="J34" s="23">
        <v>-14531</v>
      </c>
      <c r="K34" s="23">
        <v>-4177</v>
      </c>
      <c r="L34" s="23">
        <v>-5282</v>
      </c>
      <c r="M34" s="23">
        <v>-7813</v>
      </c>
      <c r="N34" s="23">
        <v>-14701</v>
      </c>
      <c r="O34" s="23">
        <v>-11356</v>
      </c>
      <c r="P34" s="23">
        <v>-11922</v>
      </c>
      <c r="Q34" s="23">
        <v>-19697</v>
      </c>
      <c r="R34" s="65">
        <v>-27701</v>
      </c>
      <c r="S34" s="23">
        <f t="shared" ref="S34:AB34" si="27">S33*-S46</f>
        <v>-26441.440447999998</v>
      </c>
      <c r="T34" s="23">
        <f t="shared" si="27"/>
        <v>-28199.955683839999</v>
      </c>
      <c r="U34" s="23">
        <f t="shared" si="27"/>
        <v>-30099.152138547208</v>
      </c>
      <c r="V34" s="23">
        <f t="shared" si="27"/>
        <v>-32150.284309630981</v>
      </c>
      <c r="W34" s="23">
        <f t="shared" si="27"/>
        <v>-34365.50705440146</v>
      </c>
      <c r="X34" s="23">
        <f t="shared" si="27"/>
        <v>-36757.947618753577</v>
      </c>
      <c r="Y34" s="23">
        <f t="shared" si="27"/>
        <v>-39341.783428253875</v>
      </c>
      <c r="Z34" s="23">
        <f t="shared" si="27"/>
        <v>-42132.326102514184</v>
      </c>
      <c r="AA34" s="23">
        <f t="shared" si="27"/>
        <v>-45146.112190715321</v>
      </c>
      <c r="AB34" s="23">
        <f t="shared" si="27"/>
        <v>-48401.00116597255</v>
      </c>
    </row>
    <row r="35" spans="2:28" x14ac:dyDescent="0.15">
      <c r="B35" s="12" t="s">
        <v>10</v>
      </c>
      <c r="H35" s="25">
        <f>H33+H34</f>
        <v>16348</v>
      </c>
      <c r="I35" s="25">
        <f>I33+I34</f>
        <v>19478</v>
      </c>
      <c r="J35" s="25">
        <f>J33+J34</f>
        <v>15398</v>
      </c>
      <c r="K35" s="25">
        <f t="shared" ref="K35:R35" si="28">K33+K34</f>
        <v>35807</v>
      </c>
      <c r="L35" s="25">
        <f t="shared" si="28"/>
        <v>36040</v>
      </c>
      <c r="M35" s="25">
        <f t="shared" si="28"/>
        <v>40269</v>
      </c>
      <c r="N35" s="25">
        <f t="shared" si="28"/>
        <v>76033</v>
      </c>
      <c r="O35" s="25">
        <f t="shared" si="28"/>
        <v>59972</v>
      </c>
      <c r="P35" s="25">
        <f t="shared" si="28"/>
        <v>73795</v>
      </c>
      <c r="Q35" s="25">
        <f t="shared" si="28"/>
        <v>100118</v>
      </c>
      <c r="R35" s="69">
        <f t="shared" si="28"/>
        <v>124251</v>
      </c>
      <c r="S35" s="25">
        <f t="shared" ref="S35" si="29">S33+S34</f>
        <v>138817.56235199998</v>
      </c>
      <c r="T35" s="25">
        <f t="shared" ref="T35" si="30">T33+T34</f>
        <v>148049.76734015997</v>
      </c>
      <c r="U35" s="25">
        <f t="shared" ref="U35" si="31">U33+U34</f>
        <v>158020.54872737284</v>
      </c>
      <c r="V35" s="25">
        <f t="shared" ref="V35" si="32">V33+V34</f>
        <v>168788.99262556265</v>
      </c>
      <c r="W35" s="25">
        <f t="shared" ref="W35" si="33">W33+W34</f>
        <v>180418.91203560767</v>
      </c>
      <c r="X35" s="25">
        <f t="shared" ref="X35" si="34">X33+X34</f>
        <v>192979.22499845625</v>
      </c>
      <c r="Y35" s="25">
        <f t="shared" ref="Y35" si="35">Y33+Y34</f>
        <v>206544.36299833283</v>
      </c>
      <c r="Z35" s="25">
        <f t="shared" ref="Z35" si="36">Z33+Z34</f>
        <v>221194.71203819948</v>
      </c>
      <c r="AA35" s="25">
        <f t="shared" ref="AA35" si="37">AA33+AA34</f>
        <v>237017.0890012554</v>
      </c>
      <c r="AB35" s="25">
        <f t="shared" ref="AB35" si="38">AB33+AB34</f>
        <v>254105.25612135587</v>
      </c>
    </row>
    <row r="36" spans="2:28" x14ac:dyDescent="0.15">
      <c r="R36" s="64"/>
    </row>
    <row r="37" spans="2:28" x14ac:dyDescent="0.15">
      <c r="B37" s="9" t="s">
        <v>69</v>
      </c>
      <c r="C37" s="18"/>
      <c r="D37" s="18"/>
      <c r="E37" s="18"/>
      <c r="F37" s="46">
        <f t="shared" ref="F37:R37" si="39">F72-F57+F74</f>
        <v>7958</v>
      </c>
      <c r="G37" s="46">
        <f t="shared" si="39"/>
        <v>7138</v>
      </c>
      <c r="H37" s="46">
        <f t="shared" si="39"/>
        <v>10906</v>
      </c>
      <c r="I37" s="46">
        <f t="shared" si="39"/>
        <v>19121</v>
      </c>
      <c r="J37" s="46">
        <f t="shared" si="39"/>
        <v>18964</v>
      </c>
      <c r="K37" s="46">
        <f t="shared" si="39"/>
        <v>18550</v>
      </c>
      <c r="L37" s="46">
        <f t="shared" si="39"/>
        <v>21875</v>
      </c>
      <c r="M37" s="46">
        <f t="shared" si="39"/>
        <v>29852</v>
      </c>
      <c r="N37" s="46">
        <f t="shared" si="39"/>
        <v>51636</v>
      </c>
      <c r="O37" s="46">
        <f t="shared" si="39"/>
        <v>40648</v>
      </c>
      <c r="P37" s="46">
        <f t="shared" si="39"/>
        <v>47035</v>
      </c>
      <c r="Q37" s="46">
        <f t="shared" si="39"/>
        <v>49979</v>
      </c>
      <c r="R37" s="70">
        <f t="shared" si="39"/>
        <v>49860</v>
      </c>
      <c r="S37" s="46">
        <f t="shared" ref="S37:AB37" si="40">S72-S57+S74</f>
        <v>76370.288351999974</v>
      </c>
      <c r="T37" s="46">
        <f t="shared" si="40"/>
        <v>80606.711420159947</v>
      </c>
      <c r="U37" s="46">
        <f t="shared" si="40"/>
        <v>85182.048333772807</v>
      </c>
      <c r="V37" s="46">
        <f t="shared" si="40"/>
        <v>90123.412200474617</v>
      </c>
      <c r="W37" s="46">
        <f t="shared" si="40"/>
        <v>95460.085176512599</v>
      </c>
      <c r="X37" s="46">
        <f t="shared" si="40"/>
        <v>101223.69199063355</v>
      </c>
      <c r="Y37" s="46">
        <f t="shared" si="40"/>
        <v>107448.38734988432</v>
      </c>
      <c r="Z37" s="46">
        <f t="shared" si="40"/>
        <v>114171.05833787503</v>
      </c>
      <c r="AA37" s="46">
        <f t="shared" si="40"/>
        <v>121431.54300490505</v>
      </c>
      <c r="AB37" s="46">
        <f t="shared" si="40"/>
        <v>129272.86644529746</v>
      </c>
    </row>
    <row r="38" spans="2:28" x14ac:dyDescent="0.15">
      <c r="B38" s="7" t="s">
        <v>66</v>
      </c>
      <c r="H38" s="26">
        <f>H37/H19</f>
        <v>0.14543466375068342</v>
      </c>
      <c r="I38" s="26">
        <f t="shared" ref="I38:AB38" si="41">I37/I19</f>
        <v>0.21181540233959589</v>
      </c>
      <c r="J38" s="26">
        <f t="shared" si="41"/>
        <v>0.17107031708087142</v>
      </c>
      <c r="K38" s="26">
        <f t="shared" si="41"/>
        <v>0.13558058456793282</v>
      </c>
      <c r="L38" s="26">
        <f t="shared" si="41"/>
        <v>0.13515016341585473</v>
      </c>
      <c r="M38" s="26">
        <f t="shared" si="41"/>
        <v>0.16354840653711505</v>
      </c>
      <c r="N38" s="26">
        <f t="shared" si="41"/>
        <v>0.20042152330604687</v>
      </c>
      <c r="O38" s="26">
        <f t="shared" si="41"/>
        <v>0.14371579289765093</v>
      </c>
      <c r="P38" s="26">
        <f t="shared" si="41"/>
        <v>0.15301209522632192</v>
      </c>
      <c r="Q38" s="26">
        <f t="shared" si="41"/>
        <v>0.14278979938174607</v>
      </c>
      <c r="R38" s="26">
        <f t="shared" si="41"/>
        <v>0.129346238556386</v>
      </c>
      <c r="S38" s="26">
        <f t="shared" si="41"/>
        <v>0.18344344787252034</v>
      </c>
      <c r="T38" s="26">
        <f t="shared" si="41"/>
        <v>0.17927726654862988</v>
      </c>
      <c r="U38" s="26">
        <f t="shared" si="41"/>
        <v>0.17541969124873147</v>
      </c>
      <c r="V38" s="26">
        <f t="shared" si="41"/>
        <v>0.17184786226734391</v>
      </c>
      <c r="W38" s="26">
        <f t="shared" si="41"/>
        <v>0.16854061321050365</v>
      </c>
      <c r="X38" s="26">
        <f t="shared" si="41"/>
        <v>0.16547834556528107</v>
      </c>
      <c r="Y38" s="26">
        <f t="shared" si="41"/>
        <v>0.16264291256044552</v>
      </c>
      <c r="Z38" s="26">
        <f t="shared" si="41"/>
        <v>0.16001751163004208</v>
      </c>
      <c r="AA38" s="26">
        <f t="shared" si="41"/>
        <v>0.15758658484263155</v>
      </c>
      <c r="AB38" s="26">
        <f t="shared" si="41"/>
        <v>0.15533572670614032</v>
      </c>
    </row>
    <row r="40" spans="2:28" x14ac:dyDescent="0.15">
      <c r="B40" s="56" t="s">
        <v>79</v>
      </c>
      <c r="C40" s="57"/>
      <c r="D40" s="57"/>
      <c r="E40" s="57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71"/>
      <c r="S40" s="58">
        <f t="shared" ref="S40:AB40" si="42">$D$5/S37</f>
        <v>50.786316035932956</v>
      </c>
      <c r="T40" s="58">
        <f t="shared" si="42"/>
        <v>48.117154659530755</v>
      </c>
      <c r="U40" s="58">
        <f t="shared" si="42"/>
        <v>45.532664168891962</v>
      </c>
      <c r="V40" s="58">
        <f t="shared" si="42"/>
        <v>43.036160141965581</v>
      </c>
      <c r="W40" s="58">
        <f t="shared" si="42"/>
        <v>40.630234016953281</v>
      </c>
      <c r="X40" s="58">
        <f t="shared" si="42"/>
        <v>38.316776672786169</v>
      </c>
      <c r="Y40" s="58">
        <f t="shared" si="42"/>
        <v>36.097010812923813</v>
      </c>
      <c r="Z40" s="58">
        <f t="shared" si="42"/>
        <v>33.971530582837097</v>
      </c>
      <c r="AA40" s="58">
        <f t="shared" si="42"/>
        <v>31.940346832645709</v>
      </c>
      <c r="AB40" s="59">
        <f t="shared" si="42"/>
        <v>30.002936475778053</v>
      </c>
    </row>
    <row r="41" spans="2:28" x14ac:dyDescent="0.15">
      <c r="R41" s="64"/>
    </row>
    <row r="42" spans="2:28" x14ac:dyDescent="0.15">
      <c r="R42" s="64"/>
    </row>
    <row r="43" spans="2:28" x14ac:dyDescent="0.15">
      <c r="B43" s="7" t="s">
        <v>85</v>
      </c>
      <c r="H43" s="26">
        <f t="shared" ref="H43:R43" si="43">H26/-H$19</f>
        <v>0.16378402165650963</v>
      </c>
      <c r="I43" s="26">
        <f t="shared" si="43"/>
        <v>0.15451081176887629</v>
      </c>
      <c r="J43" s="26">
        <f t="shared" si="43"/>
        <v>0.14997068242298497</v>
      </c>
      <c r="K43" s="26">
        <f t="shared" si="43"/>
        <v>0.15654989438601363</v>
      </c>
      <c r="L43" s="26">
        <f t="shared" si="43"/>
        <v>0.16074683208016954</v>
      </c>
      <c r="M43" s="26">
        <f t="shared" si="43"/>
        <v>0.15106258252203783</v>
      </c>
      <c r="N43" s="26">
        <f t="shared" si="43"/>
        <v>0.12250569599863374</v>
      </c>
      <c r="O43" s="26">
        <f t="shared" si="43"/>
        <v>0.13965690364734334</v>
      </c>
      <c r="P43" s="26">
        <f t="shared" si="43"/>
        <v>0.14778102370247956</v>
      </c>
      <c r="Q43" s="26">
        <f t="shared" si="43"/>
        <v>0.14092418104211785</v>
      </c>
      <c r="R43" s="66">
        <f t="shared" si="43"/>
        <v>0.14431730038368049</v>
      </c>
      <c r="S43" s="52">
        <v>0.14000000000000001</v>
      </c>
      <c r="T43" s="49">
        <f>S43</f>
        <v>0.14000000000000001</v>
      </c>
      <c r="U43" s="49">
        <f t="shared" ref="U43:AB43" si="44">T43</f>
        <v>0.14000000000000001</v>
      </c>
      <c r="V43" s="49">
        <f t="shared" si="44"/>
        <v>0.14000000000000001</v>
      </c>
      <c r="W43" s="49">
        <f t="shared" si="44"/>
        <v>0.14000000000000001</v>
      </c>
      <c r="X43" s="49">
        <f t="shared" si="44"/>
        <v>0.14000000000000001</v>
      </c>
      <c r="Y43" s="49">
        <f t="shared" si="44"/>
        <v>0.14000000000000001</v>
      </c>
      <c r="Z43" s="49">
        <f t="shared" si="44"/>
        <v>0.14000000000000001</v>
      </c>
      <c r="AA43" s="49">
        <f t="shared" si="44"/>
        <v>0.14000000000000001</v>
      </c>
      <c r="AB43" s="49">
        <f t="shared" si="44"/>
        <v>0.14000000000000001</v>
      </c>
    </row>
    <row r="44" spans="2:28" x14ac:dyDescent="0.15">
      <c r="B44" s="7" t="s">
        <v>86</v>
      </c>
      <c r="H44" s="26">
        <f t="shared" ref="H44:R44" si="45">H27/-H$19</f>
        <v>0.12064436117297203</v>
      </c>
      <c r="I44" s="26">
        <f t="shared" si="45"/>
        <v>0.11614897199574618</v>
      </c>
      <c r="J44" s="26">
        <f t="shared" si="45"/>
        <v>0.11630508321681476</v>
      </c>
      <c r="K44" s="26">
        <f t="shared" si="45"/>
        <v>0.1193766947573071</v>
      </c>
      <c r="L44" s="26">
        <f t="shared" si="45"/>
        <v>0.11407600536275848</v>
      </c>
      <c r="M44" s="26">
        <f t="shared" si="45"/>
        <v>9.8319700647027566E-2</v>
      </c>
      <c r="N44" s="26">
        <f t="shared" si="45"/>
        <v>8.8931325857699015E-2</v>
      </c>
      <c r="O44" s="26">
        <f t="shared" si="45"/>
        <v>9.3930758460733427E-2</v>
      </c>
      <c r="P44" s="26">
        <f t="shared" si="45"/>
        <v>9.0818298340240869E-2</v>
      </c>
      <c r="Q44" s="26">
        <f t="shared" si="45"/>
        <v>7.94473427080893E-2</v>
      </c>
      <c r="R44" s="66">
        <f t="shared" si="45"/>
        <v>7.2224801998562821E-2</v>
      </c>
      <c r="S44" s="52">
        <v>7.0000000000000007E-2</v>
      </c>
      <c r="T44" s="49">
        <f t="shared" ref="T44:AB44" si="46">S44</f>
        <v>7.0000000000000007E-2</v>
      </c>
      <c r="U44" s="49">
        <f t="shared" si="46"/>
        <v>7.0000000000000007E-2</v>
      </c>
      <c r="V44" s="49">
        <f t="shared" si="46"/>
        <v>7.0000000000000007E-2</v>
      </c>
      <c r="W44" s="49">
        <f t="shared" si="46"/>
        <v>7.0000000000000007E-2</v>
      </c>
      <c r="X44" s="49">
        <f t="shared" si="46"/>
        <v>7.0000000000000007E-2</v>
      </c>
      <c r="Y44" s="49">
        <f t="shared" si="46"/>
        <v>7.0000000000000007E-2</v>
      </c>
      <c r="Z44" s="49">
        <f t="shared" si="46"/>
        <v>7.0000000000000007E-2</v>
      </c>
      <c r="AA44" s="49">
        <f t="shared" si="46"/>
        <v>7.0000000000000007E-2</v>
      </c>
      <c r="AB44" s="49">
        <f t="shared" si="46"/>
        <v>7.0000000000000007E-2</v>
      </c>
    </row>
    <row r="45" spans="2:28" x14ac:dyDescent="0.15">
      <c r="B45" s="7" t="s">
        <v>87</v>
      </c>
      <c r="H45" s="26">
        <f t="shared" ref="H45:R45" si="47">H28/-H$19</f>
        <v>8.1825334382376089E-2</v>
      </c>
      <c r="I45" s="26">
        <f t="shared" si="47"/>
        <v>7.7377259836937259E-2</v>
      </c>
      <c r="J45" s="26">
        <f t="shared" si="47"/>
        <v>6.1990888999143026E-2</v>
      </c>
      <c r="K45" s="26">
        <f t="shared" si="47"/>
        <v>5.0599697410447377E-2</v>
      </c>
      <c r="L45" s="26">
        <f t="shared" si="47"/>
        <v>5.9008878207306451E-2</v>
      </c>
      <c r="M45" s="26">
        <f t="shared" si="47"/>
        <v>6.0549946035381066E-2</v>
      </c>
      <c r="N45" s="26">
        <f t="shared" si="47"/>
        <v>5.2438120301043716E-2</v>
      </c>
      <c r="O45" s="26">
        <f t="shared" si="47"/>
        <v>5.5594054505084221E-2</v>
      </c>
      <c r="P45" s="26">
        <f t="shared" si="47"/>
        <v>5.3433053345218189E-2</v>
      </c>
      <c r="Q45" s="26">
        <f t="shared" si="47"/>
        <v>4.0535058197007014E-2</v>
      </c>
      <c r="R45" s="66">
        <f t="shared" si="47"/>
        <v>5.3300196898907068E-2</v>
      </c>
      <c r="S45" s="52">
        <v>0.05</v>
      </c>
      <c r="T45" s="49">
        <f t="shared" ref="T45:AB45" si="48">S45</f>
        <v>0.05</v>
      </c>
      <c r="U45" s="49">
        <f t="shared" si="48"/>
        <v>0.05</v>
      </c>
      <c r="V45" s="49">
        <f t="shared" si="48"/>
        <v>0.05</v>
      </c>
      <c r="W45" s="49">
        <f t="shared" si="48"/>
        <v>0.05</v>
      </c>
      <c r="X45" s="49">
        <f t="shared" si="48"/>
        <v>0.05</v>
      </c>
      <c r="Y45" s="49">
        <f t="shared" si="48"/>
        <v>0.05</v>
      </c>
      <c r="Z45" s="49">
        <f t="shared" si="48"/>
        <v>0.05</v>
      </c>
      <c r="AA45" s="49">
        <f t="shared" si="48"/>
        <v>0.05</v>
      </c>
      <c r="AB45" s="49">
        <f t="shared" si="48"/>
        <v>0.05</v>
      </c>
    </row>
    <row r="46" spans="2:28" x14ac:dyDescent="0.15">
      <c r="B46" s="7" t="s">
        <v>88</v>
      </c>
      <c r="H46" s="26">
        <f t="shared" ref="H46:R46" si="49">H34/-H33</f>
        <v>0.16808304920869166</v>
      </c>
      <c r="I46" s="26">
        <f t="shared" si="49"/>
        <v>0.19345755693581781</v>
      </c>
      <c r="J46" s="26">
        <f t="shared" si="49"/>
        <v>0.48551572053860803</v>
      </c>
      <c r="K46" s="26">
        <f t="shared" si="49"/>
        <v>0.10446678671468587</v>
      </c>
      <c r="L46" s="26">
        <f t="shared" si="49"/>
        <v>0.12782537147282319</v>
      </c>
      <c r="M46" s="26">
        <f t="shared" si="49"/>
        <v>0.16249324071378063</v>
      </c>
      <c r="N46" s="26">
        <f t="shared" si="49"/>
        <v>0.16202305640663919</v>
      </c>
      <c r="O46" s="26">
        <f t="shared" si="49"/>
        <v>0.1592081650964558</v>
      </c>
      <c r="P46" s="26">
        <f t="shared" si="49"/>
        <v>0.13908559562280529</v>
      </c>
      <c r="Q46" s="26">
        <f t="shared" si="49"/>
        <v>0.16439510912657013</v>
      </c>
      <c r="R46" s="66">
        <f t="shared" si="49"/>
        <v>0.18230098978624829</v>
      </c>
      <c r="S46" s="51">
        <v>0.16</v>
      </c>
      <c r="T46" s="49">
        <f>S46</f>
        <v>0.16</v>
      </c>
      <c r="U46" s="49">
        <f t="shared" ref="U46:AB47" si="50">T46</f>
        <v>0.16</v>
      </c>
      <c r="V46" s="49">
        <f t="shared" si="50"/>
        <v>0.16</v>
      </c>
      <c r="W46" s="49">
        <f t="shared" si="50"/>
        <v>0.16</v>
      </c>
      <c r="X46" s="49">
        <f t="shared" si="50"/>
        <v>0.16</v>
      </c>
      <c r="Y46" s="49">
        <f t="shared" si="50"/>
        <v>0.16</v>
      </c>
      <c r="Z46" s="49">
        <f t="shared" si="50"/>
        <v>0.16</v>
      </c>
      <c r="AA46" s="49">
        <f t="shared" si="50"/>
        <v>0.16</v>
      </c>
      <c r="AB46" s="49">
        <f t="shared" si="50"/>
        <v>0.16</v>
      </c>
    </row>
    <row r="47" spans="2:28" x14ac:dyDescent="0.15">
      <c r="B47" s="7" t="s">
        <v>90</v>
      </c>
      <c r="H47" s="26">
        <f t="shared" ref="H47:R47" si="51">H57/H19</f>
        <v>6.9383509581405267E-2</v>
      </c>
      <c r="I47" s="26">
        <f t="shared" si="51"/>
        <v>7.4253367600141798E-2</v>
      </c>
      <c r="J47" s="26">
        <f t="shared" si="51"/>
        <v>6.9270668891795589E-2</v>
      </c>
      <c r="K47" s="26">
        <f t="shared" si="51"/>
        <v>6.836038854252699E-2</v>
      </c>
      <c r="L47" s="26">
        <f t="shared" si="51"/>
        <v>6.6688496635919359E-2</v>
      </c>
      <c r="M47" s="26">
        <f t="shared" si="51"/>
        <v>7.1173031935001393E-2</v>
      </c>
      <c r="N47" s="26">
        <f t="shared" si="51"/>
        <v>5.9680868819307786E-2</v>
      </c>
      <c r="O47" s="26">
        <f t="shared" si="51"/>
        <v>6.8456632111895233E-2</v>
      </c>
      <c r="P47" s="26">
        <f t="shared" si="51"/>
        <v>7.3065837329290742E-2</v>
      </c>
      <c r="Q47" s="26">
        <f t="shared" si="51"/>
        <v>6.5096652172174002E-2</v>
      </c>
      <c r="R47" s="66">
        <f t="shared" si="51"/>
        <v>6.1461513916524199E-2</v>
      </c>
      <c r="S47" s="51">
        <v>7.0000000000000007E-2</v>
      </c>
      <c r="T47" s="49">
        <f>S47</f>
        <v>7.0000000000000007E-2</v>
      </c>
      <c r="U47" s="49">
        <f t="shared" si="50"/>
        <v>7.0000000000000007E-2</v>
      </c>
      <c r="V47" s="49">
        <f t="shared" si="50"/>
        <v>7.0000000000000007E-2</v>
      </c>
      <c r="W47" s="49">
        <f t="shared" si="50"/>
        <v>7.0000000000000007E-2</v>
      </c>
      <c r="X47" s="49">
        <f t="shared" si="50"/>
        <v>7.0000000000000007E-2</v>
      </c>
      <c r="Y47" s="49">
        <f t="shared" si="50"/>
        <v>7.0000000000000007E-2</v>
      </c>
      <c r="Z47" s="49">
        <f t="shared" si="50"/>
        <v>7.0000000000000007E-2</v>
      </c>
      <c r="AA47" s="49">
        <f t="shared" si="50"/>
        <v>7.0000000000000007E-2</v>
      </c>
      <c r="AB47" s="49">
        <f t="shared" si="50"/>
        <v>7.0000000000000007E-2</v>
      </c>
    </row>
    <row r="48" spans="2:28" x14ac:dyDescent="0.15">
      <c r="B48" s="7" t="s">
        <v>89</v>
      </c>
      <c r="H48" s="26">
        <f t="shared" ref="H48:R48" si="52">(H55+H56)/H19</f>
        <v>6.7516569096800857E-2</v>
      </c>
      <c r="I48" s="26">
        <f t="shared" si="52"/>
        <v>6.8060971286777738E-2</v>
      </c>
      <c r="J48" s="26">
        <f t="shared" si="52"/>
        <v>6.237878309503405E-2</v>
      </c>
      <c r="K48" s="26">
        <f t="shared" si="52"/>
        <v>6.6036149949933856E-2</v>
      </c>
      <c r="L48" s="26">
        <f t="shared" si="52"/>
        <v>7.2786472009242723E-2</v>
      </c>
      <c r="M48" s="26">
        <f t="shared" si="52"/>
        <v>7.5040952845332465E-2</v>
      </c>
      <c r="N48" s="26">
        <f t="shared" si="52"/>
        <v>4.8288871551834561E-2</v>
      </c>
      <c r="O48" s="26">
        <f t="shared" si="52"/>
        <v>4.764245004172029E-2</v>
      </c>
      <c r="P48" s="26">
        <f t="shared" si="52"/>
        <v>3.8862176880485634E-2</v>
      </c>
      <c r="Q48" s="26">
        <f t="shared" si="52"/>
        <v>4.3743464621819446E-2</v>
      </c>
      <c r="R48" s="66">
        <f t="shared" si="52"/>
        <v>5.0070432217745806E-2</v>
      </c>
      <c r="S48" s="52">
        <v>0.05</v>
      </c>
      <c r="T48" s="26">
        <f>S48</f>
        <v>0.05</v>
      </c>
      <c r="U48" s="26">
        <f t="shared" ref="U48:AB49" si="53">T48</f>
        <v>0.05</v>
      </c>
      <c r="V48" s="26">
        <f t="shared" si="53"/>
        <v>0.05</v>
      </c>
      <c r="W48" s="26">
        <f t="shared" si="53"/>
        <v>0.05</v>
      </c>
      <c r="X48" s="26">
        <f t="shared" si="53"/>
        <v>0.05</v>
      </c>
      <c r="Y48" s="26">
        <f t="shared" si="53"/>
        <v>0.05</v>
      </c>
      <c r="Z48" s="26">
        <f t="shared" si="53"/>
        <v>0.05</v>
      </c>
      <c r="AA48" s="26">
        <f t="shared" si="53"/>
        <v>0.05</v>
      </c>
      <c r="AB48" s="26">
        <f t="shared" si="53"/>
        <v>0.05</v>
      </c>
    </row>
    <row r="49" spans="2:28" x14ac:dyDescent="0.15">
      <c r="B49" s="7" t="s">
        <v>91</v>
      </c>
      <c r="H49" s="26">
        <f t="shared" ref="H49:R49" si="54">H74/-H19</f>
        <v>0.13221939217751938</v>
      </c>
      <c r="I49" s="26">
        <f t="shared" si="54"/>
        <v>0.11312477844735909</v>
      </c>
      <c r="J49" s="26">
        <f t="shared" si="54"/>
        <v>0.11893013395877497</v>
      </c>
      <c r="K49" s="26">
        <f t="shared" si="54"/>
        <v>0.18373910056351822</v>
      </c>
      <c r="L49" s="26">
        <f t="shared" si="54"/>
        <v>0.14548644791389931</v>
      </c>
      <c r="M49" s="26">
        <f t="shared" si="54"/>
        <v>0.12206961161910293</v>
      </c>
      <c r="N49" s="26">
        <f t="shared" si="54"/>
        <v>9.5638437025737766E-2</v>
      </c>
      <c r="O49" s="26">
        <f t="shared" si="54"/>
        <v>0.11131892686928113</v>
      </c>
      <c r="P49" s="26">
        <f t="shared" si="54"/>
        <v>0.10491746748472644</v>
      </c>
      <c r="Q49" s="26">
        <f t="shared" si="54"/>
        <v>0.15009228096840735</v>
      </c>
      <c r="R49" s="66">
        <f t="shared" si="54"/>
        <v>0.20201464678826492</v>
      </c>
      <c r="S49" s="52">
        <v>0.2</v>
      </c>
      <c r="T49" s="26">
        <f>S49</f>
        <v>0.2</v>
      </c>
      <c r="U49" s="26">
        <f t="shared" si="53"/>
        <v>0.2</v>
      </c>
      <c r="V49" s="26">
        <f t="shared" si="53"/>
        <v>0.2</v>
      </c>
      <c r="W49" s="26">
        <f t="shared" si="53"/>
        <v>0.2</v>
      </c>
      <c r="X49" s="26">
        <f t="shared" si="53"/>
        <v>0.2</v>
      </c>
      <c r="Y49" s="26">
        <f t="shared" si="53"/>
        <v>0.2</v>
      </c>
      <c r="Z49" s="26">
        <f t="shared" si="53"/>
        <v>0.2</v>
      </c>
      <c r="AA49" s="26">
        <f t="shared" si="53"/>
        <v>0.2</v>
      </c>
      <c r="AB49" s="26">
        <f t="shared" si="53"/>
        <v>0.2</v>
      </c>
    </row>
    <row r="50" spans="2:28" x14ac:dyDescent="0.15">
      <c r="S50" s="14"/>
      <c r="T50" s="14"/>
      <c r="U50" s="14"/>
      <c r="V50" s="14"/>
    </row>
    <row r="51" spans="2:28" x14ac:dyDescent="0.15">
      <c r="B51" s="30" t="s">
        <v>70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47"/>
      <c r="T51" s="47"/>
      <c r="U51" s="47"/>
      <c r="V51" s="47"/>
      <c r="W51" s="47"/>
      <c r="X51" s="47"/>
      <c r="Y51" s="47"/>
      <c r="Z51" s="47"/>
      <c r="AA51" s="47"/>
      <c r="AB51" s="47"/>
    </row>
    <row r="52" spans="2:28" x14ac:dyDescent="0.15">
      <c r="B52" s="32"/>
      <c r="C52" s="22"/>
      <c r="D52" s="22"/>
      <c r="E52" s="22"/>
      <c r="F52" s="22"/>
      <c r="G52" s="22"/>
      <c r="H52" s="33">
        <v>2015</v>
      </c>
      <c r="I52" s="33">
        <v>2016</v>
      </c>
      <c r="J52" s="33">
        <v>2017</v>
      </c>
      <c r="K52" s="33">
        <v>2018</v>
      </c>
      <c r="L52" s="33">
        <v>2019</v>
      </c>
      <c r="M52" s="33">
        <v>2020</v>
      </c>
      <c r="N52" s="33">
        <v>2021</v>
      </c>
      <c r="O52" s="33">
        <v>2022</v>
      </c>
      <c r="P52" s="33">
        <v>2023</v>
      </c>
      <c r="Q52" s="33">
        <v>2024</v>
      </c>
      <c r="R52" s="33" t="s">
        <v>63</v>
      </c>
      <c r="S52" s="48">
        <v>2026</v>
      </c>
      <c r="T52" s="48">
        <v>2027</v>
      </c>
      <c r="U52" s="48">
        <f>T52+1</f>
        <v>2028</v>
      </c>
      <c r="V52" s="48">
        <f t="shared" ref="V52:AB52" si="55">U52+1</f>
        <v>2029</v>
      </c>
      <c r="W52" s="48">
        <f t="shared" si="55"/>
        <v>2030</v>
      </c>
      <c r="X52" s="48">
        <f t="shared" si="55"/>
        <v>2031</v>
      </c>
      <c r="Y52" s="48">
        <f t="shared" si="55"/>
        <v>2032</v>
      </c>
      <c r="Z52" s="48">
        <f t="shared" si="55"/>
        <v>2033</v>
      </c>
      <c r="AA52" s="48">
        <f t="shared" si="55"/>
        <v>2034</v>
      </c>
      <c r="AB52" s="48">
        <f t="shared" si="55"/>
        <v>2035</v>
      </c>
    </row>
    <row r="53" spans="2:28" x14ac:dyDescent="0.15">
      <c r="B53" s="12" t="s">
        <v>10</v>
      </c>
      <c r="F53" s="25">
        <v>12733</v>
      </c>
      <c r="G53" s="25">
        <v>14136</v>
      </c>
      <c r="H53" s="25">
        <f t="shared" ref="H53:S53" si="56">H35</f>
        <v>16348</v>
      </c>
      <c r="I53" s="25">
        <f t="shared" si="56"/>
        <v>19478</v>
      </c>
      <c r="J53" s="25">
        <f t="shared" si="56"/>
        <v>15398</v>
      </c>
      <c r="K53" s="25">
        <f t="shared" si="56"/>
        <v>35807</v>
      </c>
      <c r="L53" s="25">
        <f t="shared" si="56"/>
        <v>36040</v>
      </c>
      <c r="M53" s="25">
        <f t="shared" si="56"/>
        <v>40269</v>
      </c>
      <c r="N53" s="25">
        <f t="shared" si="56"/>
        <v>76033</v>
      </c>
      <c r="O53" s="25">
        <f t="shared" si="56"/>
        <v>59972</v>
      </c>
      <c r="P53" s="25">
        <f t="shared" si="56"/>
        <v>73795</v>
      </c>
      <c r="Q53" s="25">
        <f t="shared" si="56"/>
        <v>100118</v>
      </c>
      <c r="R53" s="25">
        <f t="shared" si="56"/>
        <v>124251</v>
      </c>
      <c r="S53" s="24">
        <f t="shared" si="56"/>
        <v>138817.56235199998</v>
      </c>
      <c r="T53" s="24">
        <f t="shared" ref="T53:AB53" si="57">T35</f>
        <v>148049.76734015997</v>
      </c>
      <c r="U53" s="24">
        <f t="shared" si="57"/>
        <v>158020.54872737284</v>
      </c>
      <c r="V53" s="24">
        <f t="shared" si="57"/>
        <v>168788.99262556265</v>
      </c>
      <c r="W53" s="24">
        <f t="shared" si="57"/>
        <v>180418.91203560767</v>
      </c>
      <c r="X53" s="24">
        <f t="shared" si="57"/>
        <v>192979.22499845625</v>
      </c>
      <c r="Y53" s="24">
        <f t="shared" si="57"/>
        <v>206544.36299833283</v>
      </c>
      <c r="Z53" s="24">
        <f t="shared" si="57"/>
        <v>221194.71203819948</v>
      </c>
      <c r="AA53" s="24">
        <f t="shared" si="57"/>
        <v>237017.0890012554</v>
      </c>
      <c r="AB53" s="24">
        <f t="shared" si="57"/>
        <v>254105.25612135587</v>
      </c>
    </row>
    <row r="54" spans="2:28" x14ac:dyDescent="0.15">
      <c r="B54" s="9" t="s">
        <v>62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4"/>
      <c r="T54" s="14"/>
      <c r="U54" s="14"/>
      <c r="V54" s="14"/>
    </row>
    <row r="55" spans="2:28" x14ac:dyDescent="0.15">
      <c r="B55" s="12" t="s">
        <v>61</v>
      </c>
      <c r="F55" s="15">
        <v>2781</v>
      </c>
      <c r="G55" s="15">
        <v>3523</v>
      </c>
      <c r="H55" s="15">
        <v>4132</v>
      </c>
      <c r="I55" s="15">
        <v>5267</v>
      </c>
      <c r="J55" s="15">
        <v>6103</v>
      </c>
      <c r="K55" s="15">
        <v>8164</v>
      </c>
      <c r="L55" s="15">
        <v>10856</v>
      </c>
      <c r="M55" s="15">
        <v>12905</v>
      </c>
      <c r="N55" s="15">
        <v>11555</v>
      </c>
      <c r="O55" s="15">
        <v>13475</v>
      </c>
      <c r="P55" s="15">
        <v>11946</v>
      </c>
      <c r="Q55" s="15">
        <v>15311</v>
      </c>
      <c r="R55" s="15">
        <v>19301</v>
      </c>
      <c r="S55" s="15">
        <f t="shared" ref="S55:AB55" si="58">S48*S19</f>
        <v>20815.758000000002</v>
      </c>
      <c r="T55" s="15">
        <f t="shared" si="58"/>
        <v>22481.018640000006</v>
      </c>
      <c r="U55" s="15">
        <f t="shared" si="58"/>
        <v>24279.500131200009</v>
      </c>
      <c r="V55" s="15">
        <f t="shared" si="58"/>
        <v>26221.860141696008</v>
      </c>
      <c r="W55" s="15">
        <f t="shared" si="58"/>
        <v>28319.608953031689</v>
      </c>
      <c r="X55" s="15">
        <f t="shared" si="58"/>
        <v>30585.177669274228</v>
      </c>
      <c r="Y55" s="15">
        <f t="shared" si="58"/>
        <v>33031.991882816168</v>
      </c>
      <c r="Z55" s="15">
        <f t="shared" si="58"/>
        <v>35674.551233441467</v>
      </c>
      <c r="AA55" s="15">
        <f t="shared" si="58"/>
        <v>38528.515332116789</v>
      </c>
      <c r="AB55" s="15">
        <f t="shared" si="58"/>
        <v>41610.796558686132</v>
      </c>
    </row>
    <row r="56" spans="2:28" x14ac:dyDescent="0.15">
      <c r="B56" s="12" t="s">
        <v>60</v>
      </c>
      <c r="F56" s="15">
        <v>1158</v>
      </c>
      <c r="G56" s="15">
        <v>1456</v>
      </c>
      <c r="H56" s="15">
        <v>931</v>
      </c>
      <c r="I56" s="15">
        <v>877</v>
      </c>
      <c r="J56" s="15">
        <v>812</v>
      </c>
      <c r="K56" s="15">
        <v>871</v>
      </c>
      <c r="L56" s="15">
        <v>925</v>
      </c>
      <c r="M56" s="15">
        <v>792</v>
      </c>
      <c r="N56" s="15">
        <v>886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2:28" x14ac:dyDescent="0.15">
      <c r="B57" s="12" t="s">
        <v>59</v>
      </c>
      <c r="F57" s="15">
        <v>3343</v>
      </c>
      <c r="G57" s="15">
        <v>4279</v>
      </c>
      <c r="H57" s="15">
        <v>5203</v>
      </c>
      <c r="I57" s="15">
        <v>6703</v>
      </c>
      <c r="J57" s="15">
        <v>7679</v>
      </c>
      <c r="K57" s="15">
        <v>9353</v>
      </c>
      <c r="L57" s="15">
        <v>10794</v>
      </c>
      <c r="M57" s="15">
        <v>12991</v>
      </c>
      <c r="N57" s="15">
        <v>15376</v>
      </c>
      <c r="O57" s="15">
        <v>19362</v>
      </c>
      <c r="P57" s="15">
        <v>22460</v>
      </c>
      <c r="Q57" s="15">
        <v>22785</v>
      </c>
      <c r="R57" s="15">
        <v>23692</v>
      </c>
      <c r="S57" s="15">
        <f t="shared" ref="S57:AB57" si="59">S47*S19</f>
        <v>29142.061200000004</v>
      </c>
      <c r="T57" s="15">
        <f t="shared" si="59"/>
        <v>31473.426096000007</v>
      </c>
      <c r="U57" s="15">
        <f t="shared" si="59"/>
        <v>33991.30018368001</v>
      </c>
      <c r="V57" s="15">
        <f t="shared" si="59"/>
        <v>36710.604198374414</v>
      </c>
      <c r="W57" s="15">
        <f t="shared" si="59"/>
        <v>39647.452534244367</v>
      </c>
      <c r="X57" s="15">
        <f t="shared" si="59"/>
        <v>42819.248736983922</v>
      </c>
      <c r="Y57" s="15">
        <f t="shared" si="59"/>
        <v>46244.788635942641</v>
      </c>
      <c r="Z57" s="15">
        <f t="shared" si="59"/>
        <v>49944.371726818055</v>
      </c>
      <c r="AA57" s="15">
        <f t="shared" si="59"/>
        <v>53939.921464963503</v>
      </c>
      <c r="AB57" s="15">
        <f t="shared" si="59"/>
        <v>58255.115182160589</v>
      </c>
    </row>
    <row r="58" spans="2:28" x14ac:dyDescent="0.15">
      <c r="B58" s="12" t="s">
        <v>28</v>
      </c>
      <c r="F58" s="15">
        <v>-481</v>
      </c>
      <c r="G58" s="15">
        <v>-648</v>
      </c>
      <c r="H58" s="15">
        <v>-548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2:28" x14ac:dyDescent="0.15">
      <c r="B59" s="12" t="s">
        <v>58</v>
      </c>
      <c r="F59" s="15">
        <v>-437</v>
      </c>
      <c r="G59" s="15">
        <v>-104</v>
      </c>
      <c r="H59" s="15">
        <v>-179</v>
      </c>
      <c r="I59" s="15">
        <v>-38</v>
      </c>
      <c r="J59" s="15">
        <v>258</v>
      </c>
      <c r="K59" s="15">
        <v>778</v>
      </c>
      <c r="L59" s="15">
        <v>173</v>
      </c>
      <c r="M59" s="15">
        <v>1390</v>
      </c>
      <c r="N59" s="15">
        <v>1808</v>
      </c>
      <c r="O59" s="15">
        <v>-8081</v>
      </c>
      <c r="P59" s="15">
        <v>-7763</v>
      </c>
      <c r="Q59" s="15">
        <v>-5257</v>
      </c>
      <c r="R59" s="15">
        <v>5682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2:28" x14ac:dyDescent="0.15">
      <c r="B60" s="12" t="s">
        <v>57</v>
      </c>
      <c r="F60" s="25">
        <v>0</v>
      </c>
      <c r="G60" s="25">
        <v>0</v>
      </c>
      <c r="H60" s="25">
        <v>0</v>
      </c>
      <c r="I60" s="34">
        <v>73</v>
      </c>
      <c r="J60" s="25">
        <v>0</v>
      </c>
      <c r="K60" s="34">
        <v>-6650</v>
      </c>
      <c r="L60" s="34">
        <v>-2798</v>
      </c>
      <c r="M60" s="34">
        <v>-6317</v>
      </c>
      <c r="N60" s="34">
        <v>-12270</v>
      </c>
      <c r="O60" s="34">
        <v>5519</v>
      </c>
      <c r="P60" s="34">
        <v>823</v>
      </c>
      <c r="Q60" s="34">
        <v>-2671</v>
      </c>
      <c r="R60" s="34">
        <v>-22199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2:28" x14ac:dyDescent="0.15">
      <c r="B61" s="12" t="s">
        <v>56</v>
      </c>
      <c r="F61" s="15">
        <v>-700</v>
      </c>
      <c r="G61" s="15">
        <v>-740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2:28" x14ac:dyDescent="0.15">
      <c r="B62" s="12" t="s">
        <v>55</v>
      </c>
      <c r="F62" s="15">
        <v>-166</v>
      </c>
      <c r="G62" s="15">
        <v>-390</v>
      </c>
      <c r="H62" s="15">
        <v>334</v>
      </c>
      <c r="I62" s="15">
        <v>0</v>
      </c>
      <c r="J62" s="15">
        <v>194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2:28" x14ac:dyDescent="0.15">
      <c r="B63" s="12" t="s">
        <v>54</v>
      </c>
      <c r="F63" s="15">
        <v>272</v>
      </c>
      <c r="G63" s="15">
        <v>192</v>
      </c>
      <c r="H63" s="15">
        <v>212</v>
      </c>
      <c r="I63" s="15">
        <v>376</v>
      </c>
      <c r="J63" s="15">
        <v>137</v>
      </c>
      <c r="K63" s="15">
        <v>-189</v>
      </c>
      <c r="L63" s="15">
        <v>-592</v>
      </c>
      <c r="M63" s="15">
        <v>1267</v>
      </c>
      <c r="N63" s="15">
        <v>-213</v>
      </c>
      <c r="O63" s="15">
        <v>3483</v>
      </c>
      <c r="P63" s="15">
        <v>4330</v>
      </c>
      <c r="Q63" s="15">
        <v>3419</v>
      </c>
      <c r="R63" s="15">
        <v>1670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2:28" x14ac:dyDescent="0.15">
      <c r="B64" s="9" t="s">
        <v>53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2:28" x14ac:dyDescent="0.15">
      <c r="B65" s="12" t="s">
        <v>52</v>
      </c>
      <c r="F65" s="15">
        <v>-1307</v>
      </c>
      <c r="G65" s="15">
        <v>-1641</v>
      </c>
      <c r="H65" s="15">
        <v>-2094</v>
      </c>
      <c r="I65" s="15">
        <v>-2578</v>
      </c>
      <c r="J65" s="15">
        <v>-3768</v>
      </c>
      <c r="K65" s="15">
        <v>-2169</v>
      </c>
      <c r="L65" s="15">
        <v>-4340</v>
      </c>
      <c r="M65" s="15">
        <v>-6524</v>
      </c>
      <c r="N65" s="15">
        <v>-9095</v>
      </c>
      <c r="O65" s="15">
        <v>-2317</v>
      </c>
      <c r="P65" s="15">
        <v>-7833</v>
      </c>
      <c r="Q65" s="15">
        <v>-5891</v>
      </c>
      <c r="R65" s="15">
        <v>-8152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2:28" x14ac:dyDescent="0.15">
      <c r="B66" s="12" t="s">
        <v>51</v>
      </c>
      <c r="F66" s="15">
        <v>588</v>
      </c>
      <c r="G66" s="15">
        <v>591</v>
      </c>
      <c r="H66" s="15">
        <v>-179</v>
      </c>
      <c r="I66" s="15">
        <v>3125</v>
      </c>
      <c r="J66" s="15">
        <v>8211</v>
      </c>
      <c r="K66" s="15">
        <v>-2251</v>
      </c>
      <c r="L66" s="15">
        <v>-3128</v>
      </c>
      <c r="M66" s="15">
        <v>1209</v>
      </c>
      <c r="N66" s="15">
        <v>-625</v>
      </c>
      <c r="O66" s="15">
        <v>584</v>
      </c>
      <c r="P66" s="15">
        <v>523</v>
      </c>
      <c r="Q66" s="15">
        <v>-2418</v>
      </c>
      <c r="R66" s="15">
        <v>-2913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2:28" x14ac:dyDescent="0.15">
      <c r="B67" s="12" t="s">
        <v>50</v>
      </c>
      <c r="F67" s="15">
        <v>-930</v>
      </c>
      <c r="G67" s="15">
        <v>459</v>
      </c>
      <c r="H67" s="15">
        <v>-318</v>
      </c>
      <c r="I67" s="15">
        <v>312</v>
      </c>
      <c r="J67" s="15">
        <v>-2164</v>
      </c>
      <c r="K67" s="15">
        <v>-1207</v>
      </c>
      <c r="L67" s="15">
        <v>-621</v>
      </c>
      <c r="M67" s="15">
        <v>-1330</v>
      </c>
      <c r="N67" s="15">
        <v>-1846</v>
      </c>
      <c r="O67" s="15">
        <v>-5046</v>
      </c>
      <c r="P67" s="15">
        <v>-2143</v>
      </c>
      <c r="Q67" s="15">
        <v>-1397</v>
      </c>
      <c r="R67" s="15">
        <v>-3123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2:28" x14ac:dyDescent="0.15">
      <c r="B68" s="12" t="s">
        <v>49</v>
      </c>
      <c r="F68" s="15">
        <v>605</v>
      </c>
      <c r="G68" s="15">
        <v>436</v>
      </c>
      <c r="H68" s="15">
        <v>203</v>
      </c>
      <c r="I68" s="15">
        <v>110</v>
      </c>
      <c r="J68" s="15">
        <v>731</v>
      </c>
      <c r="K68" s="15">
        <v>1067</v>
      </c>
      <c r="L68" s="15">
        <v>428</v>
      </c>
      <c r="M68" s="15">
        <v>694</v>
      </c>
      <c r="N68" s="15">
        <v>283</v>
      </c>
      <c r="O68" s="15">
        <v>707</v>
      </c>
      <c r="P68" s="15">
        <v>664</v>
      </c>
      <c r="Q68" s="15">
        <v>359</v>
      </c>
      <c r="R68" s="15">
        <v>-370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2:28" x14ac:dyDescent="0.15">
      <c r="B69" s="12" t="s">
        <v>48</v>
      </c>
      <c r="F69" s="15">
        <v>713</v>
      </c>
      <c r="G69" s="15">
        <v>757</v>
      </c>
      <c r="H69" s="15">
        <v>1597</v>
      </c>
      <c r="I69" s="15">
        <v>1515</v>
      </c>
      <c r="J69" s="15">
        <v>4891</v>
      </c>
      <c r="K69" s="15">
        <v>8614</v>
      </c>
      <c r="L69" s="15">
        <v>7170</v>
      </c>
      <c r="M69" s="15">
        <v>5504</v>
      </c>
      <c r="N69" s="15">
        <v>7304</v>
      </c>
      <c r="O69" s="15">
        <v>3915</v>
      </c>
      <c r="P69" s="15">
        <v>3937</v>
      </c>
      <c r="Q69" s="15">
        <v>-1161</v>
      </c>
      <c r="R69" s="15">
        <v>11404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2:28" x14ac:dyDescent="0.15">
      <c r="B70" s="12" t="s">
        <v>47</v>
      </c>
      <c r="F70" s="15">
        <v>254</v>
      </c>
      <c r="G70" s="15">
        <v>245</v>
      </c>
      <c r="H70" s="15">
        <v>339</v>
      </c>
      <c r="I70" s="15">
        <v>593</v>
      </c>
      <c r="J70" s="15">
        <v>955</v>
      </c>
      <c r="K70" s="15">
        <v>483</v>
      </c>
      <c r="L70" s="15">
        <v>1273</v>
      </c>
      <c r="M70" s="15">
        <v>1639</v>
      </c>
      <c r="N70" s="15">
        <v>1682</v>
      </c>
      <c r="O70" s="15">
        <v>-445</v>
      </c>
      <c r="P70" s="15">
        <v>482</v>
      </c>
      <c r="Q70" s="15">
        <v>1059</v>
      </c>
      <c r="R70" s="15">
        <v>681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2:28" x14ac:dyDescent="0.15">
      <c r="B71" s="21" t="s">
        <v>46</v>
      </c>
      <c r="C71" s="22"/>
      <c r="D71" s="22"/>
      <c r="E71" s="22"/>
      <c r="F71" s="23">
        <v>233</v>
      </c>
      <c r="G71" s="23">
        <v>-175</v>
      </c>
      <c r="H71" s="23">
        <v>43</v>
      </c>
      <c r="I71" s="23">
        <v>223</v>
      </c>
      <c r="J71" s="23">
        <v>390</v>
      </c>
      <c r="K71" s="23">
        <v>371</v>
      </c>
      <c r="L71" s="23">
        <v>37</v>
      </c>
      <c r="M71" s="23">
        <v>635</v>
      </c>
      <c r="N71" s="23">
        <v>774</v>
      </c>
      <c r="O71" s="23">
        <v>367</v>
      </c>
      <c r="P71" s="23">
        <v>525</v>
      </c>
      <c r="Q71" s="23">
        <v>1043</v>
      </c>
      <c r="R71" s="23">
        <v>1500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</row>
    <row r="72" spans="2:28" x14ac:dyDescent="0.15">
      <c r="B72" s="9" t="s">
        <v>45</v>
      </c>
      <c r="F72" s="16">
        <f>SUM(F53:F71)</f>
        <v>18659</v>
      </c>
      <c r="G72" s="16">
        <f t="shared" ref="G72:R72" si="60">SUM(G53:G71)</f>
        <v>22376</v>
      </c>
      <c r="H72" s="16">
        <f t="shared" si="60"/>
        <v>26024</v>
      </c>
      <c r="I72" s="16">
        <f t="shared" si="60"/>
        <v>36036</v>
      </c>
      <c r="J72" s="16">
        <f t="shared" si="60"/>
        <v>39827</v>
      </c>
      <c r="K72" s="16">
        <f t="shared" si="60"/>
        <v>53042</v>
      </c>
      <c r="L72" s="16">
        <f t="shared" si="60"/>
        <v>56217</v>
      </c>
      <c r="M72" s="16">
        <f t="shared" si="60"/>
        <v>65124</v>
      </c>
      <c r="N72" s="16">
        <f t="shared" si="60"/>
        <v>91652</v>
      </c>
      <c r="O72" s="16">
        <f t="shared" si="60"/>
        <v>91495</v>
      </c>
      <c r="P72" s="16">
        <f t="shared" si="60"/>
        <v>101746</v>
      </c>
      <c r="Q72" s="16">
        <f t="shared" si="60"/>
        <v>125299</v>
      </c>
      <c r="R72" s="16">
        <f t="shared" si="60"/>
        <v>151424</v>
      </c>
      <c r="S72" s="16">
        <f t="shared" ref="S72" si="61">SUM(S53:S71)</f>
        <v>188775.38155199998</v>
      </c>
      <c r="T72" s="16">
        <f t="shared" ref="T72" si="62">SUM(T53:T71)</f>
        <v>202004.21207615998</v>
      </c>
      <c r="U72" s="16">
        <f t="shared" ref="U72" si="63">SUM(U53:U71)</f>
        <v>216291.34904225287</v>
      </c>
      <c r="V72" s="16">
        <f t="shared" ref="V72" si="64">SUM(V53:V71)</f>
        <v>231721.45696563306</v>
      </c>
      <c r="W72" s="16">
        <f t="shared" ref="W72" si="65">SUM(W53:W71)</f>
        <v>248385.97352288372</v>
      </c>
      <c r="X72" s="16">
        <f t="shared" ref="X72" si="66">SUM(X53:X71)</f>
        <v>266383.65140471439</v>
      </c>
      <c r="Y72" s="16">
        <f t="shared" ref="Y72" si="67">SUM(Y53:Y71)</f>
        <v>285821.14351709164</v>
      </c>
      <c r="Z72" s="16">
        <f t="shared" ref="Z72" si="68">SUM(Z53:Z71)</f>
        <v>306813.63499845896</v>
      </c>
      <c r="AA72" s="16">
        <f t="shared" ref="AA72" si="69">SUM(AA53:AA71)</f>
        <v>329485.52579833573</v>
      </c>
      <c r="AB72" s="16">
        <f t="shared" ref="AB72" si="70">SUM(AB53:AB71)</f>
        <v>353971.16786220256</v>
      </c>
    </row>
    <row r="73" spans="2:28" x14ac:dyDescent="0.15">
      <c r="B73" s="9" t="s">
        <v>44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2:28" x14ac:dyDescent="0.15">
      <c r="B74" s="12" t="s">
        <v>43</v>
      </c>
      <c r="F74" s="15">
        <v>-7358</v>
      </c>
      <c r="G74" s="15">
        <v>-10959</v>
      </c>
      <c r="H74" s="15">
        <v>-9915</v>
      </c>
      <c r="I74" s="15">
        <v>-10212</v>
      </c>
      <c r="J74" s="15">
        <v>-13184</v>
      </c>
      <c r="K74" s="15">
        <v>-25139</v>
      </c>
      <c r="L74" s="15">
        <v>-23548</v>
      </c>
      <c r="M74" s="15">
        <v>-22281</v>
      </c>
      <c r="N74" s="15">
        <v>-24640</v>
      </c>
      <c r="O74" s="15">
        <v>-31485</v>
      </c>
      <c r="P74" s="15">
        <v>-32251</v>
      </c>
      <c r="Q74" s="15">
        <v>-52535</v>
      </c>
      <c r="R74" s="15">
        <v>-77872</v>
      </c>
      <c r="S74" s="50">
        <f t="shared" ref="S74:AB74" si="71">S49*-S19</f>
        <v>-83263.032000000007</v>
      </c>
      <c r="T74" s="50">
        <f t="shared" si="71"/>
        <v>-89924.074560000023</v>
      </c>
      <c r="U74" s="50">
        <f t="shared" si="71"/>
        <v>-97118.000524800038</v>
      </c>
      <c r="V74" s="50">
        <f t="shared" si="71"/>
        <v>-104887.44056678403</v>
      </c>
      <c r="W74" s="50">
        <f t="shared" si="71"/>
        <v>-113278.43581212676</v>
      </c>
      <c r="X74" s="50">
        <f t="shared" si="71"/>
        <v>-122340.71067709691</v>
      </c>
      <c r="Y74" s="50">
        <f t="shared" si="71"/>
        <v>-132127.96753126467</v>
      </c>
      <c r="Z74" s="50">
        <f t="shared" si="71"/>
        <v>-142698.20493376587</v>
      </c>
      <c r="AA74" s="50">
        <f t="shared" si="71"/>
        <v>-154114.06132846716</v>
      </c>
      <c r="AB74" s="50">
        <f t="shared" si="71"/>
        <v>-166443.18623474453</v>
      </c>
    </row>
    <row r="75" spans="2:28" x14ac:dyDescent="0.15">
      <c r="B75" s="12" t="s">
        <v>42</v>
      </c>
      <c r="F75" s="11">
        <v>0</v>
      </c>
      <c r="G75" s="11">
        <v>0</v>
      </c>
      <c r="H75" s="11">
        <v>0</v>
      </c>
      <c r="I75" s="11">
        <v>240</v>
      </c>
      <c r="J75" s="11">
        <v>99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</row>
    <row r="76" spans="2:28" x14ac:dyDescent="0.15">
      <c r="B76" s="12" t="s">
        <v>41</v>
      </c>
      <c r="F76" s="15">
        <v>-45444</v>
      </c>
      <c r="G76" s="15">
        <v>-56310</v>
      </c>
      <c r="H76" s="15">
        <v>-74368</v>
      </c>
      <c r="I76" s="15">
        <v>-84509</v>
      </c>
      <c r="J76" s="15">
        <v>-92195</v>
      </c>
      <c r="K76" s="15">
        <v>-50158</v>
      </c>
      <c r="L76" s="15">
        <v>-100315</v>
      </c>
      <c r="M76" s="15">
        <v>-136576</v>
      </c>
      <c r="N76" s="15">
        <v>-135196</v>
      </c>
      <c r="O76" s="15">
        <v>-78874</v>
      </c>
      <c r="P76" s="15">
        <v>-77858</v>
      </c>
      <c r="Q76" s="15">
        <v>-86679</v>
      </c>
      <c r="R76" s="15">
        <v>-82479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</row>
    <row r="77" spans="2:28" x14ac:dyDescent="0.15">
      <c r="B77" s="12" t="s">
        <v>40</v>
      </c>
      <c r="F77" s="15">
        <v>38314</v>
      </c>
      <c r="G77" s="15">
        <v>51315</v>
      </c>
      <c r="H77" s="15">
        <v>62905</v>
      </c>
      <c r="I77" s="15">
        <v>66895</v>
      </c>
      <c r="J77" s="15">
        <v>73959</v>
      </c>
      <c r="K77" s="15">
        <v>48507</v>
      </c>
      <c r="L77" s="15">
        <v>97825</v>
      </c>
      <c r="M77" s="15">
        <v>132906</v>
      </c>
      <c r="N77" s="15">
        <v>128294</v>
      </c>
      <c r="O77" s="15">
        <v>97822</v>
      </c>
      <c r="P77" s="15">
        <v>86672</v>
      </c>
      <c r="Q77" s="15">
        <v>103428</v>
      </c>
      <c r="R77" s="15">
        <v>82950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</row>
    <row r="78" spans="2:28" x14ac:dyDescent="0.15">
      <c r="B78" s="12" t="s">
        <v>39</v>
      </c>
      <c r="F78" s="15">
        <v>-569</v>
      </c>
      <c r="G78" s="15">
        <v>-1227</v>
      </c>
      <c r="H78" s="15">
        <v>-2172</v>
      </c>
      <c r="I78" s="15">
        <v>-1109</v>
      </c>
      <c r="J78" s="15">
        <v>-1745</v>
      </c>
      <c r="K78" s="15">
        <v>-2073</v>
      </c>
      <c r="L78" s="15">
        <v>-1932</v>
      </c>
      <c r="M78" s="15">
        <v>-7175</v>
      </c>
      <c r="N78" s="15">
        <v>-2838</v>
      </c>
      <c r="O78" s="15">
        <v>-2531</v>
      </c>
      <c r="P78" s="15">
        <v>-3027</v>
      </c>
      <c r="Q78" s="15">
        <v>-5034</v>
      </c>
      <c r="R78" s="15">
        <v>-5112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</row>
    <row r="79" spans="2:28" x14ac:dyDescent="0.15">
      <c r="B79" s="12" t="s">
        <v>38</v>
      </c>
      <c r="F79" s="11"/>
      <c r="G79" s="11"/>
      <c r="H79" s="11"/>
      <c r="I79" s="11">
        <v>494</v>
      </c>
      <c r="J79" s="11">
        <v>533</v>
      </c>
      <c r="K79" s="11">
        <v>1752</v>
      </c>
      <c r="L79" s="11">
        <v>405</v>
      </c>
      <c r="M79" s="11">
        <v>1023</v>
      </c>
      <c r="N79" s="11">
        <v>934</v>
      </c>
      <c r="O79" s="11">
        <v>150</v>
      </c>
      <c r="P79" s="11">
        <v>947</v>
      </c>
      <c r="Q79" s="11">
        <v>882</v>
      </c>
      <c r="R79" s="11">
        <v>1346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</row>
    <row r="80" spans="2:28" x14ac:dyDescent="0.15">
      <c r="B80" s="12" t="s">
        <v>37</v>
      </c>
      <c r="F80" s="15">
        <v>-299</v>
      </c>
      <c r="G80" s="15">
        <v>1403</v>
      </c>
      <c r="H80" s="15">
        <v>-350</v>
      </c>
      <c r="I80" s="15">
        <v>-2428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</row>
    <row r="81" spans="2:28" x14ac:dyDescent="0.15">
      <c r="B81" s="12" t="s">
        <v>36</v>
      </c>
      <c r="F81" s="15">
        <v>600</v>
      </c>
      <c r="G81" s="15">
        <v>-775</v>
      </c>
      <c r="H81" s="15">
        <v>425</v>
      </c>
      <c r="I81" s="15">
        <v>450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</row>
    <row r="82" spans="2:28" x14ac:dyDescent="0.15">
      <c r="B82" s="12" t="s">
        <v>35</v>
      </c>
      <c r="F82" s="15">
        <v>2525</v>
      </c>
      <c r="G82" s="15">
        <v>386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</row>
    <row r="83" spans="2:28" x14ac:dyDescent="0.15">
      <c r="B83" s="12" t="s">
        <v>34</v>
      </c>
      <c r="F83" s="15">
        <v>-1448</v>
      </c>
      <c r="G83" s="15">
        <v>-4888</v>
      </c>
      <c r="H83" s="15">
        <v>-236</v>
      </c>
      <c r="I83" s="15">
        <v>-986</v>
      </c>
      <c r="J83" s="15">
        <v>-287</v>
      </c>
      <c r="K83" s="15">
        <v>-1491</v>
      </c>
      <c r="L83" s="15">
        <v>-2515</v>
      </c>
      <c r="M83" s="15">
        <v>-738</v>
      </c>
      <c r="N83" s="15">
        <v>-2618</v>
      </c>
      <c r="O83" s="15">
        <v>-6969</v>
      </c>
      <c r="P83" s="15">
        <v>-495</v>
      </c>
      <c r="Q83" s="15">
        <v>-2931</v>
      </c>
      <c r="R83" s="15">
        <v>-1516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</row>
    <row r="84" spans="2:28" x14ac:dyDescent="0.15">
      <c r="B84" s="12" t="s">
        <v>33</v>
      </c>
      <c r="F84" s="11">
        <v>0</v>
      </c>
      <c r="G84" s="11">
        <v>0</v>
      </c>
      <c r="H84" s="11">
        <v>0</v>
      </c>
      <c r="I84" s="11">
        <v>0</v>
      </c>
      <c r="J84" s="11">
        <v>1419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</row>
    <row r="85" spans="2:28" x14ac:dyDescent="0.15">
      <c r="B85" s="21" t="s">
        <v>32</v>
      </c>
      <c r="C85" s="22"/>
      <c r="D85" s="22"/>
      <c r="E85" s="22"/>
      <c r="F85" s="29">
        <v>0</v>
      </c>
      <c r="G85" s="29">
        <v>0</v>
      </c>
      <c r="H85" s="29">
        <v>0</v>
      </c>
      <c r="I85" s="29">
        <v>0</v>
      </c>
      <c r="J85" s="29">
        <v>0</v>
      </c>
      <c r="K85" s="29">
        <v>98</v>
      </c>
      <c r="L85" s="29">
        <v>589</v>
      </c>
      <c r="M85" s="29">
        <v>68</v>
      </c>
      <c r="N85" s="29">
        <v>541</v>
      </c>
      <c r="O85" s="29">
        <v>1589</v>
      </c>
      <c r="P85" s="29">
        <v>-1051</v>
      </c>
      <c r="Q85" s="29">
        <v>-2667</v>
      </c>
      <c r="R85" s="29">
        <v>-2012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</row>
    <row r="86" spans="2:28" x14ac:dyDescent="0.15">
      <c r="B86" s="9" t="s">
        <v>31</v>
      </c>
      <c r="F86" s="16">
        <f>SUM(F74:F85)</f>
        <v>-13679</v>
      </c>
      <c r="G86" s="16">
        <f t="shared" ref="G86:R86" si="72">SUM(G74:G85)</f>
        <v>-21055</v>
      </c>
      <c r="H86" s="16">
        <f t="shared" si="72"/>
        <v>-23711</v>
      </c>
      <c r="I86" s="16">
        <f t="shared" si="72"/>
        <v>-31165</v>
      </c>
      <c r="J86" s="16">
        <f t="shared" si="72"/>
        <v>-31401</v>
      </c>
      <c r="K86" s="16">
        <f t="shared" si="72"/>
        <v>-28504</v>
      </c>
      <c r="L86" s="16">
        <f t="shared" si="72"/>
        <v>-29491</v>
      </c>
      <c r="M86" s="16">
        <f t="shared" si="72"/>
        <v>-32773</v>
      </c>
      <c r="N86" s="16">
        <f t="shared" si="72"/>
        <v>-35523</v>
      </c>
      <c r="O86" s="16">
        <f t="shared" si="72"/>
        <v>-20298</v>
      </c>
      <c r="P86" s="16">
        <f t="shared" si="72"/>
        <v>-27063</v>
      </c>
      <c r="Q86" s="16">
        <f t="shared" si="72"/>
        <v>-45536</v>
      </c>
      <c r="R86" s="16">
        <f t="shared" si="72"/>
        <v>-84695</v>
      </c>
      <c r="S86" s="16">
        <f t="shared" ref="S86" si="73">SUM(S74:S85)</f>
        <v>-83263.032000000007</v>
      </c>
      <c r="T86" s="16">
        <f t="shared" ref="T86" si="74">SUM(T74:T85)</f>
        <v>-89924.074560000023</v>
      </c>
      <c r="U86" s="16">
        <f t="shared" ref="U86" si="75">SUM(U74:U85)</f>
        <v>-97118.000524800038</v>
      </c>
      <c r="V86" s="16">
        <f t="shared" ref="V86" si="76">SUM(V74:V85)</f>
        <v>-104887.44056678403</v>
      </c>
      <c r="W86" s="16">
        <f t="shared" ref="W86" si="77">SUM(W74:W85)</f>
        <v>-113278.43581212676</v>
      </c>
      <c r="X86" s="16">
        <f t="shared" ref="X86" si="78">SUM(X74:X85)</f>
        <v>-122340.71067709691</v>
      </c>
      <c r="Y86" s="16">
        <f t="shared" ref="Y86" si="79">SUM(Y74:Y85)</f>
        <v>-132127.96753126467</v>
      </c>
      <c r="Z86" s="16">
        <f t="shared" ref="Z86" si="80">SUM(Z74:Z85)</f>
        <v>-142698.20493376587</v>
      </c>
      <c r="AA86" s="16">
        <f t="shared" ref="AA86" si="81">SUM(AA74:AA85)</f>
        <v>-154114.06132846716</v>
      </c>
      <c r="AB86" s="16">
        <f t="shared" ref="AB86" si="82">SUM(AB74:AB85)</f>
        <v>-166443.18623474453</v>
      </c>
    </row>
    <row r="87" spans="2:28" x14ac:dyDescent="0.15">
      <c r="B87" s="9" t="s">
        <v>30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2:28" x14ac:dyDescent="0.15">
      <c r="B88" s="12" t="s">
        <v>29</v>
      </c>
      <c r="F88" s="15">
        <v>-781</v>
      </c>
      <c r="G88" s="15">
        <v>-2069</v>
      </c>
      <c r="H88" s="15">
        <v>-1612</v>
      </c>
      <c r="I88" s="15">
        <v>-3304</v>
      </c>
      <c r="J88" s="15">
        <v>-4166</v>
      </c>
      <c r="K88" s="15">
        <v>-4993</v>
      </c>
      <c r="L88" s="15">
        <v>-4765</v>
      </c>
      <c r="M88" s="15">
        <v>-5720</v>
      </c>
      <c r="N88" s="15">
        <v>-10162</v>
      </c>
      <c r="O88" s="15">
        <v>-9300</v>
      </c>
      <c r="P88" s="15">
        <v>-9837</v>
      </c>
      <c r="Q88" s="15">
        <v>-12190</v>
      </c>
      <c r="R88" s="15">
        <v>-12050</v>
      </c>
    </row>
    <row r="89" spans="2:28" x14ac:dyDescent="0.15">
      <c r="B89" s="12" t="s">
        <v>28</v>
      </c>
      <c r="F89" s="15">
        <v>481</v>
      </c>
      <c r="G89" s="15">
        <v>648</v>
      </c>
      <c r="H89" s="15">
        <v>548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</row>
    <row r="90" spans="2:28" x14ac:dyDescent="0.15">
      <c r="B90" s="12" t="s">
        <v>27</v>
      </c>
      <c r="F90" s="15">
        <v>0</v>
      </c>
      <c r="G90" s="15">
        <v>0</v>
      </c>
      <c r="H90" s="15">
        <v>-47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</row>
    <row r="91" spans="2:28" x14ac:dyDescent="0.15">
      <c r="B91" s="12" t="s">
        <v>26</v>
      </c>
      <c r="F91" s="15">
        <v>0</v>
      </c>
      <c r="G91" s="15">
        <v>0</v>
      </c>
      <c r="H91" s="15">
        <v>-2543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</row>
    <row r="92" spans="2:28" x14ac:dyDescent="0.15">
      <c r="B92" s="12" t="s">
        <v>25</v>
      </c>
      <c r="F92" s="15">
        <v>0</v>
      </c>
      <c r="G92" s="15">
        <v>0</v>
      </c>
      <c r="H92" s="15">
        <v>0</v>
      </c>
      <c r="I92" s="15">
        <v>-3693</v>
      </c>
      <c r="J92" s="15">
        <v>-4846</v>
      </c>
      <c r="K92" s="15">
        <v>-9075</v>
      </c>
      <c r="L92" s="15">
        <v>-18396</v>
      </c>
      <c r="M92" s="15">
        <v>-31149</v>
      </c>
      <c r="N92" s="15">
        <v>-50274</v>
      </c>
      <c r="O92" s="15">
        <v>-59296</v>
      </c>
      <c r="P92" s="15">
        <v>-61504</v>
      </c>
      <c r="Q92" s="15">
        <v>-62222</v>
      </c>
      <c r="R92" s="15">
        <v>-55761</v>
      </c>
    </row>
    <row r="93" spans="2:28" x14ac:dyDescent="0.15">
      <c r="B93" s="12" t="s">
        <v>24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-7363</v>
      </c>
      <c r="R93" s="11">
        <v>-9955</v>
      </c>
    </row>
    <row r="94" spans="2:28" x14ac:dyDescent="0.15">
      <c r="B94" s="12" t="s">
        <v>23</v>
      </c>
      <c r="F94" s="15">
        <v>10768</v>
      </c>
      <c r="G94" s="15">
        <v>11625</v>
      </c>
      <c r="H94" s="15">
        <v>13705</v>
      </c>
      <c r="I94" s="15">
        <v>8729</v>
      </c>
      <c r="J94" s="15">
        <v>4291</v>
      </c>
      <c r="K94" s="15">
        <v>6766</v>
      </c>
      <c r="L94" s="15">
        <v>317</v>
      </c>
      <c r="M94" s="15">
        <v>11761</v>
      </c>
      <c r="N94" s="15">
        <v>20199</v>
      </c>
      <c r="O94" s="15">
        <v>52872</v>
      </c>
      <c r="P94" s="15">
        <v>10790</v>
      </c>
      <c r="Q94" s="15">
        <v>13589</v>
      </c>
      <c r="R94" s="15">
        <v>42897</v>
      </c>
    </row>
    <row r="95" spans="2:28" x14ac:dyDescent="0.15">
      <c r="B95" s="12" t="s">
        <v>22</v>
      </c>
      <c r="F95" s="15">
        <v>-11325</v>
      </c>
      <c r="G95" s="15">
        <v>-11643</v>
      </c>
      <c r="H95" s="15">
        <v>-13728</v>
      </c>
      <c r="I95" s="15">
        <v>-10064</v>
      </c>
      <c r="J95" s="15">
        <v>-4377</v>
      </c>
      <c r="K95" s="15">
        <v>-6827</v>
      </c>
      <c r="L95" s="15">
        <v>-585</v>
      </c>
      <c r="M95" s="15">
        <v>-2100</v>
      </c>
      <c r="N95" s="15">
        <v>-21435</v>
      </c>
      <c r="O95" s="15">
        <v>-54068</v>
      </c>
      <c r="P95" s="15">
        <v>-11550</v>
      </c>
      <c r="Q95" s="15">
        <v>-12701</v>
      </c>
      <c r="R95" s="15">
        <v>-29844</v>
      </c>
    </row>
    <row r="96" spans="2:28" x14ac:dyDescent="0.15">
      <c r="B96" s="21" t="s">
        <v>21</v>
      </c>
      <c r="C96" s="22"/>
      <c r="D96" s="22"/>
      <c r="E96" s="22"/>
      <c r="F96" s="23">
        <v>0</v>
      </c>
      <c r="G96" s="23">
        <v>0</v>
      </c>
      <c r="H96" s="23">
        <v>0</v>
      </c>
      <c r="I96" s="23">
        <v>0</v>
      </c>
      <c r="J96" s="23">
        <v>800</v>
      </c>
      <c r="K96" s="23">
        <v>950</v>
      </c>
      <c r="L96" s="23">
        <v>220</v>
      </c>
      <c r="M96" s="23">
        <v>2800</v>
      </c>
      <c r="N96" s="23">
        <v>310</v>
      </c>
      <c r="O96" s="23">
        <v>35</v>
      </c>
      <c r="P96" s="23">
        <v>8</v>
      </c>
      <c r="Q96" s="23">
        <v>1154</v>
      </c>
      <c r="R96" s="23">
        <v>1261</v>
      </c>
    </row>
    <row r="97" spans="2:18" x14ac:dyDescent="0.15">
      <c r="B97" s="9" t="s">
        <v>20</v>
      </c>
      <c r="F97" s="16">
        <f>SUM(F88:F96)</f>
        <v>-857</v>
      </c>
      <c r="G97" s="16">
        <f t="shared" ref="G97:R97" si="83">SUM(G88:G96)</f>
        <v>-1439</v>
      </c>
      <c r="H97" s="16">
        <f t="shared" si="83"/>
        <v>-3677</v>
      </c>
      <c r="I97" s="16">
        <f t="shared" si="83"/>
        <v>-8332</v>
      </c>
      <c r="J97" s="16">
        <f t="shared" si="83"/>
        <v>-8298</v>
      </c>
      <c r="K97" s="16">
        <f t="shared" si="83"/>
        <v>-13179</v>
      </c>
      <c r="L97" s="16">
        <f t="shared" si="83"/>
        <v>-23209</v>
      </c>
      <c r="M97" s="16">
        <f t="shared" si="83"/>
        <v>-24408</v>
      </c>
      <c r="N97" s="16">
        <f t="shared" si="83"/>
        <v>-61362</v>
      </c>
      <c r="O97" s="16">
        <f t="shared" si="83"/>
        <v>-69757</v>
      </c>
      <c r="P97" s="16">
        <f t="shared" si="83"/>
        <v>-72093</v>
      </c>
      <c r="Q97" s="16">
        <f t="shared" si="83"/>
        <v>-79733</v>
      </c>
      <c r="R97" s="16">
        <f t="shared" si="83"/>
        <v>-63452</v>
      </c>
    </row>
    <row r="98" spans="2:18" x14ac:dyDescent="0.15">
      <c r="B98" s="12" t="s">
        <v>19</v>
      </c>
      <c r="F98" s="15">
        <v>-3</v>
      </c>
      <c r="G98" s="15">
        <v>-433</v>
      </c>
      <c r="H98" s="15">
        <v>-434</v>
      </c>
      <c r="I98" s="15">
        <v>-170</v>
      </c>
      <c r="J98" s="15">
        <v>405</v>
      </c>
      <c r="K98" s="15">
        <v>-302</v>
      </c>
      <c r="L98" s="15">
        <v>-23</v>
      </c>
      <c r="M98" s="15">
        <v>24</v>
      </c>
      <c r="N98" s="15">
        <v>-287</v>
      </c>
      <c r="O98" s="15">
        <v>-506</v>
      </c>
      <c r="P98" s="15">
        <v>-421</v>
      </c>
      <c r="Q98" s="15">
        <v>-612</v>
      </c>
      <c r="R98" s="15">
        <v>-146</v>
      </c>
    </row>
    <row r="99" spans="2:18" x14ac:dyDescent="0.15">
      <c r="B99" s="9" t="s">
        <v>18</v>
      </c>
      <c r="F99" s="16">
        <f>F72+F86+F97+F98</f>
        <v>4120</v>
      </c>
      <c r="G99" s="16">
        <f>G72+G86+G97+G98</f>
        <v>-551</v>
      </c>
      <c r="H99" s="16">
        <f t="shared" ref="H99:R99" si="84">H72+H86+H97+H98</f>
        <v>-1798</v>
      </c>
      <c r="I99" s="16">
        <f t="shared" si="84"/>
        <v>-3631</v>
      </c>
      <c r="J99" s="16">
        <f t="shared" si="84"/>
        <v>533</v>
      </c>
      <c r="K99" s="16">
        <f t="shared" si="84"/>
        <v>11057</v>
      </c>
      <c r="L99" s="16">
        <f t="shared" si="84"/>
        <v>3494</v>
      </c>
      <c r="M99" s="16">
        <f t="shared" si="84"/>
        <v>7967</v>
      </c>
      <c r="N99" s="16">
        <f t="shared" si="84"/>
        <v>-5520</v>
      </c>
      <c r="O99" s="16">
        <f t="shared" si="84"/>
        <v>934</v>
      </c>
      <c r="P99" s="16">
        <f t="shared" si="84"/>
        <v>2169</v>
      </c>
      <c r="Q99" s="16">
        <f t="shared" si="84"/>
        <v>-582</v>
      </c>
      <c r="R99" s="16">
        <f t="shared" si="84"/>
        <v>3131</v>
      </c>
    </row>
  </sheetData>
  <pageMargins left="0.75" right="0.75" top="1" bottom="1" header="0.5" footer="0.5"/>
  <ignoredErrors>
    <ignoredError sqref="S34:AB3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Statements</vt:lpstr>
      <vt:lpstr>Reverse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Vasileios Prassas</cp:lastModifiedBy>
  <dcterms:created xsi:type="dcterms:W3CDTF">2025-12-04T15:58:04Z</dcterms:created>
  <dcterms:modified xsi:type="dcterms:W3CDTF">2025-12-12T01:19:05Z</dcterms:modified>
</cp:coreProperties>
</file>